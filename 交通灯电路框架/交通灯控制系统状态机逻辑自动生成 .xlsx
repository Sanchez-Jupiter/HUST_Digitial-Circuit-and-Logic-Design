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输出信号表达式自动生成!$A$1:$X$30</definedName>
  </definedNames>
  <calcPr calcId="144525"/>
</workbook>
</file>

<file path=xl/sharedStrings.xml><?xml version="1.0" encoding="utf-8"?>
<sst xmlns="http://schemas.openxmlformats.org/spreadsheetml/2006/main" count="32" uniqueCount="32">
  <si>
    <t>输入 （填1或0，不填为无关项x）</t>
  </si>
  <si>
    <t>输出    (只填写为1的情况)</t>
  </si>
  <si>
    <t>S2</t>
  </si>
  <si>
    <t>S1</t>
  </si>
  <si>
    <t>S0</t>
  </si>
  <si>
    <t>H</t>
  </si>
  <si>
    <t>PCM</t>
  </si>
  <si>
    <t>PCC</t>
  </si>
  <si>
    <t>T5</t>
  </si>
  <si>
    <t>T4</t>
  </si>
  <si>
    <t>T3</t>
  </si>
  <si>
    <t>T2</t>
  </si>
  <si>
    <t>T1</t>
  </si>
  <si>
    <t>N2</t>
  </si>
  <si>
    <t>N1</t>
  </si>
  <si>
    <t>N0</t>
  </si>
  <si>
    <t>Y1</t>
  </si>
  <si>
    <t>G1</t>
  </si>
  <si>
    <t>R2</t>
  </si>
  <si>
    <t>Y2</t>
  </si>
  <si>
    <t>G2</t>
  </si>
  <si>
    <t>Out9</t>
  </si>
  <si>
    <t>Out10</t>
  </si>
  <si>
    <t>Out11</t>
  </si>
  <si>
    <t>Out12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</si>
  <si>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</si>
  <si>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注意从一个状态到另外一个状态的切换要填写完整，不要漏填自己到自己的状态，也不要漏填切换条件分别为0和1的情况，各切换条件之间不要有二义性</t>
  </si>
  <si>
    <t>注意这个表行数肯定是够的，如果不够请思考如何合并某些行，不要尝试增加行！</t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</si>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</sst>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4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b/>
      <sz val="11"/>
      <color rgb="FF0000FF"/>
      <name val="微软雅黑"/>
      <charset val="134"/>
    </font>
    <font>
      <b/>
      <sz val="14"/>
      <color rgb="FFFF0000"/>
      <name val="微软雅黑"/>
      <charset val="134"/>
    </font>
    <font>
      <sz val="14"/>
      <color rgb="FFFF0000"/>
      <name val="等线"/>
      <charset val="134"/>
      <scheme val="minor"/>
    </font>
    <font>
      <b/>
      <sz val="11"/>
      <color theme="1"/>
      <name val="Segoe UI"/>
      <charset val="134"/>
    </font>
    <font>
      <sz val="11"/>
      <color theme="1"/>
      <name val="仿宋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0" fillId="19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3" borderId="20" applyNumberFormat="0" applyFon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1" fillId="16" borderId="24" applyNumberFormat="0" applyAlignment="0" applyProtection="0">
      <alignment vertical="center"/>
    </xf>
    <xf numFmtId="0" fontId="18" fillId="16" borderId="19" applyNumberFormat="0" applyAlignment="0" applyProtection="0">
      <alignment vertical="center"/>
    </xf>
    <xf numFmtId="0" fontId="32" fillId="34" borderId="25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176" fontId="2" fillId="5" borderId="8" xfId="0" applyNumberFormat="1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right" vertical="center"/>
    </xf>
    <xf numFmtId="176" fontId="6" fillId="6" borderId="10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>
      <alignment horizontal="center" vertical="center" shrinkToFit="1"/>
    </xf>
    <xf numFmtId="0" fontId="8" fillId="8" borderId="13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13" fillId="11" borderId="17" xfId="0" applyFont="1" applyFill="1" applyBorder="1" applyAlignment="1" applyProtection="1">
      <alignment horizontal="center" vertical="center" shrinkToFit="1"/>
    </xf>
    <xf numFmtId="0" fontId="13" fillId="11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0" fillId="0" borderId="0" xfId="0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ill>
        <patternFill patternType="solid">
          <bgColor theme="9" tint="0.79995117038483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0000FF"/>
      <color rgb="00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276225</xdr:colOff>
      <xdr:row>33</xdr:row>
      <xdr:rowOff>28575</xdr:rowOff>
    </xdr:from>
    <xdr:to>
      <xdr:col>15</xdr:col>
      <xdr:colOff>0</xdr:colOff>
      <xdr:row>35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6465570" y="6597015"/>
          <a:ext cx="967105" cy="56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W38"/>
  <sheetViews>
    <sheetView tabSelected="1" zoomScale="70" zoomScaleNormal="70" workbookViewId="0">
      <pane ySplit="2" topLeftCell="A3" activePane="bottomLeft" state="frozen"/>
      <selection/>
      <selection pane="bottomLeft" activeCell="AB17" sqref="AB17"/>
    </sheetView>
  </sheetViews>
  <sheetFormatPr defaultColWidth="9" defaultRowHeight="13.8"/>
  <cols>
    <col min="1" max="4" width="8.62962962962963" style="18" customWidth="1"/>
    <col min="5" max="7" width="8.62962962962963" style="19" customWidth="1"/>
    <col min="8" max="8" width="6.87962962962963" style="19" customWidth="1"/>
    <col min="9" max="9" width="7.37962962962963" style="19" customWidth="1"/>
    <col min="10" max="10" width="8.25" style="19" customWidth="1"/>
    <col min="11" max="11" width="8.44444444444444" style="19" customWidth="1"/>
    <col min="12" max="12" width="10.5" style="18" customWidth="1"/>
    <col min="13" max="14" width="8.62962962962963" style="18" customWidth="1"/>
    <col min="15" max="15" width="8.62962962962963" style="19" hidden="1" customWidth="1"/>
    <col min="16" max="22" width="8.62962962962963" style="18" hidden="1" customWidth="1"/>
    <col min="23" max="23" width="8.62962962962963" style="19" hidden="1" customWidth="1"/>
  </cols>
  <sheetData>
    <row r="1" ht="24" customHeight="1" spans="1:2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32"/>
      <c r="L1" s="33" t="s">
        <v>1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="1" customFormat="1" ht="24" customHeight="1" spans="1:23">
      <c r="A2" s="22" t="s">
        <v>2</v>
      </c>
      <c r="B2" s="22" t="s">
        <v>3</v>
      </c>
      <c r="C2" s="22" t="s">
        <v>4</v>
      </c>
      <c r="D2" s="23" t="s">
        <v>5</v>
      </c>
      <c r="E2" s="23" t="s">
        <v>6</v>
      </c>
      <c r="F2" s="23" t="s">
        <v>7</v>
      </c>
      <c r="G2" s="23" t="s">
        <v>8</v>
      </c>
      <c r="H2" s="23" t="s">
        <v>9</v>
      </c>
      <c r="I2" s="23" t="s">
        <v>10</v>
      </c>
      <c r="J2" s="23" t="s">
        <v>11</v>
      </c>
      <c r="K2" s="23" t="s">
        <v>12</v>
      </c>
      <c r="L2" s="35" t="s">
        <v>13</v>
      </c>
      <c r="M2" s="36" t="s">
        <v>14</v>
      </c>
      <c r="N2" s="36" t="s">
        <v>15</v>
      </c>
      <c r="O2" s="36" t="s">
        <v>16</v>
      </c>
      <c r="P2" s="36" t="s">
        <v>17</v>
      </c>
      <c r="Q2" s="36" t="s">
        <v>18</v>
      </c>
      <c r="R2" s="36" t="s">
        <v>19</v>
      </c>
      <c r="S2" s="36" t="s">
        <v>20</v>
      </c>
      <c r="T2" s="36" t="s">
        <v>21</v>
      </c>
      <c r="U2" s="36" t="s">
        <v>22</v>
      </c>
      <c r="V2" s="36" t="s">
        <v>23</v>
      </c>
      <c r="W2" s="36" t="s">
        <v>24</v>
      </c>
    </row>
    <row r="3" ht="17.55" spans="1:2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37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ht="16.8" spans="1:2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38"/>
      <c r="M4" s="25"/>
      <c r="N4" s="25"/>
      <c r="O4" s="39"/>
      <c r="P4" s="39"/>
      <c r="Q4" s="39"/>
      <c r="R4" s="39"/>
      <c r="S4" s="39"/>
      <c r="T4" s="39"/>
      <c r="U4" s="39"/>
      <c r="V4" s="39"/>
      <c r="W4" s="39"/>
    </row>
    <row r="5" ht="16.8" spans="1:2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37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ht="16.8" spans="1:23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37"/>
      <c r="M6" s="24"/>
      <c r="N6" s="24"/>
      <c r="O6" s="39"/>
      <c r="P6" s="39"/>
      <c r="Q6" s="39"/>
      <c r="R6" s="39"/>
      <c r="S6" s="39"/>
      <c r="T6" s="39"/>
      <c r="U6" s="39"/>
      <c r="V6" s="39"/>
      <c r="W6" s="39"/>
    </row>
    <row r="7" ht="16.8" spans="1:2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37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ht="16.8" spans="1:2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38"/>
      <c r="M8" s="25"/>
      <c r="N8" s="25"/>
      <c r="O8" s="39"/>
      <c r="P8" s="39"/>
      <c r="Q8" s="39"/>
      <c r="R8" s="39"/>
      <c r="S8" s="39"/>
      <c r="T8" s="39"/>
      <c r="U8" s="39"/>
      <c r="V8" s="39"/>
      <c r="W8" s="39"/>
    </row>
    <row r="9" ht="16.8" spans="1:2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37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ht="16.5" customHeight="1" spans="1:2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38"/>
      <c r="M10" s="25"/>
      <c r="N10" s="25"/>
      <c r="O10" s="39"/>
      <c r="P10" s="39"/>
      <c r="Q10" s="39"/>
      <c r="R10" s="39"/>
      <c r="S10" s="39"/>
      <c r="T10" s="39"/>
      <c r="U10" s="39"/>
      <c r="V10" s="39"/>
      <c r="W10" s="39"/>
    </row>
    <row r="11" ht="16.5" customHeight="1" spans="1:2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37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ht="16.5" customHeight="1" spans="1:2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37"/>
      <c r="M12" s="24"/>
      <c r="N12" s="24"/>
      <c r="O12" s="39"/>
      <c r="P12" s="39"/>
      <c r="Q12" s="39"/>
      <c r="R12" s="39"/>
      <c r="S12" s="39"/>
      <c r="T12" s="39"/>
      <c r="U12" s="39"/>
      <c r="V12" s="39"/>
      <c r="W12" s="39"/>
    </row>
    <row r="13" ht="16.5" customHeight="1" spans="1:2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38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</row>
    <row r="14" ht="16.5" customHeight="1" spans="1:2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37"/>
      <c r="M14" s="24"/>
      <c r="N14" s="24"/>
      <c r="O14" s="39"/>
      <c r="P14" s="39"/>
      <c r="Q14" s="39"/>
      <c r="R14" s="39"/>
      <c r="S14" s="39"/>
      <c r="T14" s="39"/>
      <c r="U14" s="39"/>
      <c r="V14" s="39"/>
      <c r="W14" s="39"/>
    </row>
    <row r="15" ht="16.5" customHeight="1" spans="1:2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38"/>
      <c r="M15" s="25"/>
      <c r="N15" s="25"/>
      <c r="O15" s="24"/>
      <c r="P15" s="24"/>
      <c r="Q15" s="24"/>
      <c r="R15" s="24"/>
      <c r="S15" s="24"/>
      <c r="T15" s="24"/>
      <c r="U15" s="24"/>
      <c r="V15" s="24"/>
      <c r="W15" s="24"/>
    </row>
    <row r="16" ht="16.5" customHeight="1" spans="1:23">
      <c r="A16" s="24"/>
      <c r="B16" s="24"/>
      <c r="C16" s="24"/>
      <c r="D16" s="26"/>
      <c r="E16" s="26"/>
      <c r="F16" s="26"/>
      <c r="G16" s="26"/>
      <c r="H16" s="26"/>
      <c r="I16" s="26"/>
      <c r="J16" s="26"/>
      <c r="K16" s="26"/>
      <c r="L16" s="24"/>
      <c r="M16" s="24"/>
      <c r="N16" s="24"/>
      <c r="O16" s="39"/>
      <c r="P16" s="39"/>
      <c r="Q16" s="39"/>
      <c r="R16" s="39"/>
      <c r="S16" s="39"/>
      <c r="T16" s="39"/>
      <c r="U16" s="39"/>
      <c r="V16" s="39"/>
      <c r="W16" s="39"/>
    </row>
    <row r="17" ht="16.5" customHeight="1" spans="1:2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40"/>
      <c r="M17" s="26"/>
      <c r="N17" s="26"/>
      <c r="O17" s="24"/>
      <c r="P17" s="24"/>
      <c r="Q17" s="24"/>
      <c r="R17" s="24"/>
      <c r="S17" s="24"/>
      <c r="T17" s="24"/>
      <c r="U17" s="24"/>
      <c r="V17" s="24"/>
      <c r="W17" s="24"/>
    </row>
    <row r="18" ht="16.5" customHeight="1" spans="1:2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40"/>
      <c r="M18" s="26"/>
      <c r="N18" s="26"/>
      <c r="O18" s="39"/>
      <c r="P18" s="39"/>
      <c r="Q18" s="39"/>
      <c r="R18" s="39"/>
      <c r="S18" s="39"/>
      <c r="T18" s="39"/>
      <c r="U18" s="39"/>
      <c r="V18" s="39"/>
      <c r="W18" s="39"/>
    </row>
    <row r="19" ht="16.5" customHeight="1" spans="1:2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4"/>
      <c r="P19" s="24"/>
      <c r="Q19" s="24"/>
      <c r="R19" s="24"/>
      <c r="S19" s="24"/>
      <c r="T19" s="24"/>
      <c r="U19" s="24"/>
      <c r="V19" s="24"/>
      <c r="W19" s="24"/>
    </row>
    <row r="20" ht="16.5" customHeight="1" spans="1:2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39"/>
      <c r="P20" s="39"/>
      <c r="Q20" s="39"/>
      <c r="R20" s="39"/>
      <c r="S20" s="39"/>
      <c r="T20" s="39"/>
      <c r="U20" s="39"/>
      <c r="V20" s="39"/>
      <c r="W20" s="39"/>
    </row>
    <row r="21" ht="16.5" customHeight="1" spans="1:2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40"/>
      <c r="M21" s="26"/>
      <c r="N21" s="26"/>
      <c r="O21" s="24"/>
      <c r="P21" s="24"/>
      <c r="Q21" s="24"/>
      <c r="R21" s="24"/>
      <c r="S21" s="24"/>
      <c r="T21" s="24"/>
      <c r="U21" s="24"/>
      <c r="V21" s="24"/>
      <c r="W21" s="24"/>
    </row>
    <row r="22" ht="16.5" customHeight="1" spans="1:2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40"/>
      <c r="M22" s="26"/>
      <c r="N22" s="26"/>
      <c r="O22" s="39"/>
      <c r="P22" s="39"/>
      <c r="Q22" s="39"/>
      <c r="R22" s="39"/>
      <c r="S22" s="39"/>
      <c r="T22" s="39"/>
      <c r="U22" s="39"/>
      <c r="V22" s="39"/>
      <c r="W22" s="39"/>
    </row>
    <row r="23" ht="16.5" customHeight="1" spans="1: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40"/>
      <c r="M23" s="26"/>
      <c r="N23" s="26"/>
      <c r="O23" s="41"/>
      <c r="P23" s="41"/>
      <c r="Q23" s="41"/>
      <c r="R23" s="41"/>
      <c r="S23" s="41"/>
      <c r="T23" s="41"/>
      <c r="U23" s="41"/>
      <c r="V23" s="41"/>
      <c r="W23" s="41"/>
    </row>
    <row r="24" ht="16.5" customHeight="1" spans="1:2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40"/>
      <c r="M24" s="26"/>
      <c r="N24" s="26"/>
      <c r="O24" s="42"/>
      <c r="P24" s="42"/>
      <c r="Q24" s="42"/>
      <c r="R24" s="42"/>
      <c r="S24" s="42"/>
      <c r="T24" s="42"/>
      <c r="U24" s="42"/>
      <c r="V24" s="42"/>
      <c r="W24" s="42"/>
    </row>
    <row r="25" ht="16.5" customHeight="1" spans="1:2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40"/>
      <c r="M25" s="26"/>
      <c r="N25" s="26"/>
      <c r="O25" s="41"/>
      <c r="P25" s="41"/>
      <c r="Q25" s="41"/>
      <c r="R25" s="41"/>
      <c r="S25" s="41"/>
      <c r="T25" s="41"/>
      <c r="U25" s="41"/>
      <c r="V25" s="41"/>
      <c r="W25" s="41"/>
    </row>
    <row r="26" ht="16.5" customHeight="1" spans="1:2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40"/>
      <c r="M26" s="26"/>
      <c r="N26" s="26"/>
      <c r="O26" s="42"/>
      <c r="P26" s="42"/>
      <c r="Q26" s="42"/>
      <c r="R26" s="42"/>
      <c r="S26" s="42"/>
      <c r="T26" s="42"/>
      <c r="U26" s="42"/>
      <c r="V26" s="42"/>
      <c r="W26" s="42"/>
    </row>
    <row r="27" ht="16.5" customHeight="1" spans="1:2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41"/>
      <c r="P27" s="41"/>
      <c r="Q27" s="41"/>
      <c r="R27" s="41"/>
      <c r="S27" s="41"/>
      <c r="T27" s="41"/>
      <c r="U27" s="41"/>
      <c r="V27" s="41"/>
      <c r="W27" s="41"/>
    </row>
    <row r="28" ht="16.5" customHeight="1" spans="1:2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40"/>
      <c r="M28" s="26"/>
      <c r="N28" s="26"/>
      <c r="O28" s="42"/>
      <c r="P28" s="42"/>
      <c r="Q28" s="42"/>
      <c r="R28" s="42"/>
      <c r="S28" s="42"/>
      <c r="T28" s="42"/>
      <c r="U28" s="42"/>
      <c r="V28" s="42"/>
      <c r="W28" s="42"/>
    </row>
    <row r="29" ht="16.5" customHeight="1" spans="1:2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41"/>
      <c r="P29" s="41"/>
      <c r="Q29" s="41"/>
      <c r="R29" s="41"/>
      <c r="S29" s="41"/>
      <c r="T29" s="41"/>
      <c r="U29" s="41"/>
      <c r="V29" s="41"/>
      <c r="W29" s="41"/>
    </row>
    <row r="30" ht="16.5" customHeight="1" spans="1:2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38"/>
      <c r="M30" s="25"/>
      <c r="N30" s="25"/>
      <c r="O30" s="42"/>
      <c r="P30" s="42"/>
      <c r="Q30" s="42"/>
      <c r="R30" s="42"/>
      <c r="S30" s="42"/>
      <c r="T30" s="42"/>
      <c r="U30" s="42"/>
      <c r="V30" s="42"/>
      <c r="W30" s="42"/>
    </row>
    <row r="31" ht="16.5" customHeight="1" spans="1:2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38"/>
      <c r="M31" s="25"/>
      <c r="N31" s="25"/>
      <c r="O31" s="41"/>
      <c r="P31" s="41"/>
      <c r="Q31" s="41"/>
      <c r="R31" s="41"/>
      <c r="S31" s="41"/>
      <c r="T31" s="41"/>
      <c r="U31" s="41"/>
      <c r="V31" s="41"/>
      <c r="W31" s="41"/>
    </row>
    <row r="32" ht="16.8" spans="1:14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ht="28.5" customHeight="1" spans="1:23">
      <c r="A33" s="27" t="s">
        <v>25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ht="24" customHeight="1" spans="1:23">
      <c r="A34" s="28" t="s">
        <v>26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7" ht="39" customHeight="1" spans="5:18">
      <c r="E37" s="29"/>
      <c r="F37" s="30" t="s">
        <v>27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43"/>
    </row>
    <row r="38" ht="17.4" spans="5:18">
      <c r="E38" s="29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43"/>
    </row>
  </sheetData>
  <protectedRanges>
    <protectedRange sqref="E1:K1 E33:K1048576" name="区域1"/>
    <protectedRange sqref="E3:K5" name="区域1_1"/>
  </protectedRanges>
  <mergeCells count="4">
    <mergeCell ref="A1:K1"/>
    <mergeCell ref="L1:W1"/>
    <mergeCell ref="A33:W33"/>
    <mergeCell ref="A34:W34"/>
  </mergeCells>
  <conditionalFormatting sqref="L16:N16">
    <cfRule type="notContainsBlanks" dxfId="0" priority="4">
      <formula>LEN(TRIM(L16))&gt;0</formula>
    </cfRule>
  </conditionalFormatting>
  <conditionalFormatting sqref="L19:N19">
    <cfRule type="notContainsBlanks" dxfId="0" priority="1">
      <formula>LEN(TRIM(L19))&gt;0</formula>
    </cfRule>
  </conditionalFormatting>
  <conditionalFormatting sqref="L20:N20">
    <cfRule type="notContainsBlanks" dxfId="0" priority="3">
      <formula>LEN(TRIM(L20))&gt;0</formula>
    </cfRule>
  </conditionalFormatting>
  <conditionalFormatting sqref="L27:N27">
    <cfRule type="notContainsBlanks" dxfId="0" priority="2">
      <formula>LEN(TRIM(L27))&gt;0</formula>
    </cfRule>
  </conditionalFormatting>
  <conditionalFormatting sqref="L29:N29">
    <cfRule type="notContainsBlanks" dxfId="0" priority="7">
      <formula>LEN(TRIM(L29))&gt;0</formula>
    </cfRule>
  </conditionalFormatting>
  <conditionalFormatting sqref="L32:N32">
    <cfRule type="notContainsBlanks" dxfId="0" priority="6">
      <formula>LEN(TRIM(L32))&gt;0</formula>
    </cfRule>
  </conditionalFormatting>
  <conditionalFormatting sqref="A3:K32">
    <cfRule type="cellIs" dxfId="1" priority="13" operator="equal">
      <formula>1</formula>
    </cfRule>
    <cfRule type="notContainsBlanks" dxfId="0" priority="14">
      <formula>LEN(TRIM(A3))&gt;0</formula>
    </cfRule>
  </conditionalFormatting>
  <conditionalFormatting sqref="L3:N32">
    <cfRule type="cellIs" dxfId="1" priority="12" operator="equal">
      <formula>1</formula>
    </cfRule>
  </conditionalFormatting>
  <conditionalFormatting sqref="O3:W31">
    <cfRule type="cellIs" dxfId="1" priority="22" operator="equal">
      <formula>1</formula>
    </cfRule>
  </conditionalFormatting>
  <conditionalFormatting sqref="O32 L39:O1048576 L35:O36">
    <cfRule type="containsText" dxfId="2" priority="29" operator="between" text="1">
      <formula>NOT(ISERROR(SEARCH("1",L32)))</formula>
    </cfRule>
  </conditionalFormatting>
  <conditionalFormatting sqref="P32:W32 P39:W1048576 R37:W38 P35:W36">
    <cfRule type="containsText" dxfId="2" priority="26" operator="between" text="1">
      <formula>NOT(ISERROR(SEARCH("1",P32)))</formula>
    </cfRule>
  </conditionalFormatting>
  <dataValidations count="7"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G1 H1:K1 A2:C2 D2:G2 H2:K2 A6:G6 H6:K6 A11:G11 H11:K11 A16:C16 D16:G16 H16:K16 L16:N16 A17:G17 H17:K17 A18:G18 H18:K18 A19:C19 D19:G19 H19:K19 L19:N19 A20:C20 D20:G20 H20:K20 L20:N20 A21:G21 H21:K21 A27:C27 D27:G27 H27:K27 L27:N27 A28:G28 H28:K28 A29:C29 D29:G29 H29:K29 L29:N29 A30:G30 H30:K30 A31:G31 H31:K31 A32:C32 D32:G32 H32:K32 L32:N32 H3:K5 H24:K26 A3:G5 A24:G26 A7:G10 H7:K10 A12:G15 H12:K15 A22:G23 H22:K23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5:G1048576 H35:K1048576"/>
    <dataValidation allowBlank="1" showInputMessage="1" showErrorMessage="1" promptTitle="状态机现态" prompt="状态机现态" sqref="D35:D1048576"/>
    <dataValidation allowBlank="1" showInputMessage="1" showErrorMessage="1" promptTitle="输出" prompt="输出，只填为1的情况，为零或无关项x不填&#10;&#10;不需要使用的输出列可清空数据后隐藏！！" sqref="L6:N6 L11:N11 L17:N17 L18:N18 L21:N21 L28:N28 L30:N30 L31:N31 O3:W20 L3:N5 L24:N26 L1:W2 L7:N10 L12:N15 L22:N23"/>
    <dataValidation allowBlank="1" showInputMessage="1" showErrorMessage="1" promptTitle="输出" prompt="输出，只填为1的情况，为零不填" sqref="O32:W32 L35:W1048576"/>
    <dataValidation allowBlank="1" showInputMessage="1" showErrorMessage="1" promptTitle="输出" prompt="输出，只填为1的情况，为零或无关项x不填" sqref="O21:W31"/>
    <dataValidation allowBlank="1" showInputMessage="1" showErrorMessage="1" promptTitle="状态机现态二进制" prompt="状态机现态二进制表示，由前列计算得到" sqref="A33:A1048576 B35:C1048576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X37"/>
  <sheetViews>
    <sheetView zoomScale="115" zoomScaleNormal="115" workbookViewId="0">
      <pane ySplit="1" topLeftCell="A24" activePane="bottomLeft" state="frozen"/>
      <selection/>
      <selection pane="bottomLeft" activeCell="O32" sqref="O32"/>
    </sheetView>
  </sheetViews>
  <sheetFormatPr defaultColWidth="9" defaultRowHeight="13.8"/>
  <cols>
    <col min="1" max="11" width="4.62962962962963" style="1" customWidth="1"/>
    <col min="12" max="12" width="30.6944444444444" style="1" customWidth="1"/>
    <col min="13" max="13" width="8.62962962962963" customWidth="1"/>
    <col min="14" max="14" width="9.5" customWidth="1"/>
    <col min="15" max="17" width="8.62962962962963" customWidth="1"/>
    <col min="18" max="24" width="8.62962962962963" hidden="1" customWidth="1"/>
    <col min="25" max="25" width="8.12962962962963" customWidth="1"/>
  </cols>
  <sheetData>
    <row r="1" ht="24" customHeight="1" spans="1:24">
      <c r="A1" s="2" t="str">
        <f>组合逻辑真值表!A2</f>
        <v>S2</v>
      </c>
      <c r="B1" s="2" t="str">
        <f>组合逻辑真值表!B2</f>
        <v>S1</v>
      </c>
      <c r="C1" s="2" t="str">
        <f>组合逻辑真值表!C2</f>
        <v>S0</v>
      </c>
      <c r="D1" s="2" t="str">
        <f>组合逻辑真值表!D2</f>
        <v>H</v>
      </c>
      <c r="E1" s="2" t="str">
        <f>组合逻辑真值表!E2</f>
        <v>PCM</v>
      </c>
      <c r="F1" s="2" t="str">
        <f>组合逻辑真值表!F2</f>
        <v>PCC</v>
      </c>
      <c r="G1" s="2" t="str">
        <f>组合逻辑真值表!G2</f>
        <v>T5</v>
      </c>
      <c r="H1" s="2" t="str">
        <f>组合逻辑真值表!H2</f>
        <v>T4</v>
      </c>
      <c r="I1" s="2" t="str">
        <f>组合逻辑真值表!I2</f>
        <v>T3</v>
      </c>
      <c r="J1" s="2" t="str">
        <f>组合逻辑真值表!J2</f>
        <v>T2</v>
      </c>
      <c r="K1" s="2" t="str">
        <f>组合逻辑真值表!K2</f>
        <v>T1</v>
      </c>
      <c r="L1" s="9" t="s">
        <v>28</v>
      </c>
      <c r="M1" s="10" t="str">
        <f>组合逻辑真值表!L2</f>
        <v>N2</v>
      </c>
      <c r="N1" s="10" t="str">
        <f>组合逻辑真值表!M2</f>
        <v>N1</v>
      </c>
      <c r="O1" s="10" t="str">
        <f>组合逻辑真值表!N2</f>
        <v>N0</v>
      </c>
      <c r="P1" s="10" t="str">
        <f>组合逻辑真值表!O2</f>
        <v>Y1</v>
      </c>
      <c r="Q1" s="10" t="str">
        <f>组合逻辑真值表!P2</f>
        <v>G1</v>
      </c>
      <c r="R1" s="10" t="str">
        <f>组合逻辑真值表!Q2</f>
        <v>R2</v>
      </c>
      <c r="S1" s="10" t="str">
        <f>组合逻辑真值表!R2</f>
        <v>Y2</v>
      </c>
      <c r="T1" s="10" t="str">
        <f>组合逻辑真值表!S2</f>
        <v>G2</v>
      </c>
      <c r="U1" s="10" t="str">
        <f>组合逻辑真值表!T2</f>
        <v>Out9</v>
      </c>
      <c r="V1" s="10" t="str">
        <f>组合逻辑真值表!U2</f>
        <v>Out10</v>
      </c>
      <c r="W1" s="10" t="str">
        <f>组合逻辑真值表!V2</f>
        <v>Out11</v>
      </c>
      <c r="X1" s="10" t="str">
        <f>组合逻辑真值表!W2</f>
        <v>Out12</v>
      </c>
    </row>
    <row r="2" ht="15.15" spans="1:24">
      <c r="A2" s="3" t="str">
        <f>IF(组合逻辑真值表!A3&lt;&gt;"",IF(组合逻辑真值表!A3=1,组合逻辑真值表!A$2&amp;"&amp;",IF(组合逻辑真值表!A3=0,"~"&amp;组合逻辑真值表!A$2&amp;"&amp;","")),"")</f>
        <v/>
      </c>
      <c r="B2" s="3" t="str">
        <f>IF(组合逻辑真值表!B3&lt;&gt;"",IF(组合逻辑真值表!B3=1,组合逻辑真值表!B$2&amp;"&amp;",IF(组合逻辑真值表!B3=0,"~"&amp;组合逻辑真值表!B$2&amp;"&amp;","")),"")</f>
        <v/>
      </c>
      <c r="C2" s="3" t="str">
        <f>IF(组合逻辑真值表!C3&lt;&gt;"",IF(组合逻辑真值表!C3=1,组合逻辑真值表!C$2&amp;"&amp;",IF(组合逻辑真值表!C3=0,"~"&amp;组合逻辑真值表!C$2&amp;"&amp;","")),"")</f>
        <v/>
      </c>
      <c r="D2" s="3" t="str">
        <f>IF(组合逻辑真值表!D3&lt;&gt;"",IF(组合逻辑真值表!D3=1,组合逻辑真值表!D$2&amp;"&amp;",IF(组合逻辑真值表!D3=0,"~"&amp;组合逻辑真值表!D$2&amp;"&amp;","")),"")</f>
        <v/>
      </c>
      <c r="E2" s="3" t="str">
        <f>IF(组合逻辑真值表!E3&lt;&gt;"",IF(组合逻辑真值表!E3=1,组合逻辑真值表!E$2&amp;"&amp;",IF(组合逻辑真值表!E3=0,"~"&amp;组合逻辑真值表!E$2&amp;"&amp;","")),"")</f>
        <v/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11" t="str">
        <f>IF(LEN(CONCATENATE(A2,B2,C2,D2,E2,F2,G2,H2,I2,J2,K2))=0,"",LEFT(CONCATENATE(A2,B2,C2,D2,E2,F2,G2,H2,I2,J2,K2),LEN(CONCATENATE(A2,B2,C2,D2,E2,F2,G2,H2,I2,J2,K2))-1))</f>
        <v/>
      </c>
      <c r="M2" s="12" t="str">
        <f>IF(组合逻辑真值表!L3=1,$L2&amp;"+","")</f>
        <v/>
      </c>
      <c r="N2" s="12" t="str">
        <f>IF(组合逻辑真值表!M3=1,$L2&amp;"+","")</f>
        <v/>
      </c>
      <c r="O2" s="12" t="str">
        <f>IF(组合逻辑真值表!N3=1,$L2&amp;"+","")</f>
        <v/>
      </c>
      <c r="P2" s="12" t="str">
        <f>IF(组合逻辑真值表!O3=1,$L2&amp;"+","")</f>
        <v/>
      </c>
      <c r="Q2" s="12" t="str">
        <f>IF(组合逻辑真值表!P3=1,$L2&amp;"+","")</f>
        <v/>
      </c>
      <c r="R2" s="12" t="str">
        <f>IF(组合逻辑真值表!Q3=1,$L2&amp;"+","")</f>
        <v/>
      </c>
      <c r="S2" s="12" t="str">
        <f>IF(组合逻辑真值表!R3=1,$L2&amp;"+","")</f>
        <v/>
      </c>
      <c r="T2" s="12" t="str">
        <f>IF(组合逻辑真值表!S3=1,$L2&amp;"+","")</f>
        <v/>
      </c>
      <c r="U2" s="12" t="str">
        <f>IF(组合逻辑真值表!T3=1,$L2&amp;"+","")</f>
        <v/>
      </c>
      <c r="V2" s="12" t="str">
        <f>IF(组合逻辑真值表!U3=1,$L2&amp;"+","")</f>
        <v/>
      </c>
      <c r="W2" s="12" t="str">
        <f>IF(组合逻辑真值表!V3=1,$L2&amp;"+","")</f>
        <v/>
      </c>
      <c r="X2" s="12" t="str">
        <f>IF(组合逻辑真值表!W3=1,$L2&amp;"+","")</f>
        <v/>
      </c>
    </row>
    <row r="3" ht="14.4" spans="1:24">
      <c r="A3" s="3" t="str">
        <f>IF(组合逻辑真值表!A4&lt;&gt;"",IF(组合逻辑真值表!A4=1,组合逻辑真值表!A$2&amp;"&amp;",IF(组合逻辑真值表!A4=0,"~"&amp;组合逻辑真值表!A$2&amp;"&amp;","")),"")</f>
        <v/>
      </c>
      <c r="B3" s="3" t="str">
        <f>IF(组合逻辑真值表!B4&lt;&gt;"",IF(组合逻辑真值表!B4=1,组合逻辑真值表!B$2&amp;"&amp;",IF(组合逻辑真值表!B4=0,"~"&amp;组合逻辑真值表!B$2&amp;"&amp;","")),"")</f>
        <v/>
      </c>
      <c r="C3" s="3" t="str">
        <f>IF(组合逻辑真值表!C4&lt;&gt;"",IF(组合逻辑真值表!C4=1,组合逻辑真值表!C$2&amp;"&amp;",IF(组合逻辑真值表!C4=0,"~"&amp;组合逻辑真值表!C$2&amp;"&amp;","")),"")</f>
        <v/>
      </c>
      <c r="D3" s="3" t="str">
        <f>IF(组合逻辑真值表!D4&lt;&gt;"",IF(组合逻辑真值表!D4=1,组合逻辑真值表!D$2&amp;"&amp;",IF(组合逻辑真值表!D4=0,"~"&amp;组合逻辑真值表!D$2&amp;"&amp;","")),"")</f>
        <v/>
      </c>
      <c r="E3" s="3" t="str">
        <f>IF(组合逻辑真值表!E4&lt;&gt;"",IF(组合逻辑真值表!E4=1,组合逻辑真值表!E$2&amp;"&amp;",IF(组合逻辑真值表!E4=0,"~"&amp;组合逻辑真值表!E$2&amp;"&amp;","")),"")</f>
        <v/>
      </c>
      <c r="F3" s="3" t="str">
        <f>IF(组合逻辑真值表!F4&lt;&gt;"",IF(组合逻辑真值表!F4=1,组合逻辑真值表!F$2&amp;"&amp;",IF(组合逻辑真值表!F4=0,"~"&amp;组合逻辑真值表!F$2&amp;"&amp;","")),"")</f>
        <v/>
      </c>
      <c r="G3" s="3" t="str">
        <f>IF(组合逻辑真值表!G4&lt;&gt;"",IF(组合逻辑真值表!G4=1,组合逻辑真值表!G$2&amp;"&amp;",IF(组合逻辑真值表!G4=0,"~"&amp;组合逻辑真值表!G$2&amp;"&amp;","")),"")</f>
        <v/>
      </c>
      <c r="H3" s="3" t="str">
        <f>IF(组合逻辑真值表!H4&lt;&gt;"",IF(组合逻辑真值表!H4=1,组合逻辑真值表!H$2&amp;"&amp;",IF(组合逻辑真值表!H4=0,"~"&amp;组合逻辑真值表!H$2&amp;"&amp;","")),"")</f>
        <v/>
      </c>
      <c r="I3" s="3" t="str">
        <f>IF(组合逻辑真值表!I4&lt;&gt;"",IF(组合逻辑真值表!I4=1,组合逻辑真值表!I$2&amp;"&amp;",IF(组合逻辑真值表!I4=0,"~"&amp;组合逻辑真值表!I$2&amp;"&amp;","")),"")</f>
        <v/>
      </c>
      <c r="J3" s="3" t="str">
        <f>IF(组合逻辑真值表!J4&lt;&gt;"",IF(组合逻辑真值表!J4=1,组合逻辑真值表!J$2&amp;"&amp;",IF(组合逻辑真值表!J4=0,"~"&amp;组合逻辑真值表!J$2&amp;"&amp;","")),"")</f>
        <v/>
      </c>
      <c r="K3" s="3" t="str">
        <f>IF(组合逻辑真值表!K4&lt;&gt;"",IF(组合逻辑真值表!K4=1,组合逻辑真值表!K$2&amp;"&amp;",IF(组合逻辑真值表!K4=0,"~"&amp;组合逻辑真值表!K$2&amp;"&amp;","")),"")</f>
        <v/>
      </c>
      <c r="L3" s="11" t="str">
        <f t="shared" ref="L3:L31" si="0">IF(LEN(CONCATENATE(A3,B3,C3,D3,E3,F3,G3,H3,I3,J3,K3))=0,"",LEFT(CONCATENATE(A3,B3,C3,D3,E3,F3,G3,H3,I3,J3,K3),LEN(CONCATENATE(A3,B3,C3,D3,E3,F3,G3,H3,I3,J3,K3))-1))</f>
        <v/>
      </c>
      <c r="M3" s="12" t="str">
        <f>IF(组合逻辑真值表!L4=1,$L3&amp;"+","")</f>
        <v/>
      </c>
      <c r="N3" s="12" t="str">
        <f>IF(组合逻辑真值表!M4=1,$L3&amp;"+","")</f>
        <v/>
      </c>
      <c r="O3" s="12" t="str">
        <f>IF(组合逻辑真值表!N4=1,$L3&amp;"+","")</f>
        <v/>
      </c>
      <c r="P3" s="12" t="str">
        <f>IF(组合逻辑真值表!O4=1,$L3&amp;"+","")</f>
        <v/>
      </c>
      <c r="Q3" s="12" t="str">
        <f>IF(组合逻辑真值表!P4=1,$L3&amp;"+","")</f>
        <v/>
      </c>
      <c r="R3" s="12" t="str">
        <f>IF(组合逻辑真值表!Q4=1,$L3&amp;"+","")</f>
        <v/>
      </c>
      <c r="S3" s="12" t="str">
        <f>IF(组合逻辑真值表!R4=1,$L3&amp;"+","")</f>
        <v/>
      </c>
      <c r="T3" s="12" t="str">
        <f>IF(组合逻辑真值表!S4=1,$L3&amp;"+","")</f>
        <v/>
      </c>
      <c r="U3" s="12" t="str">
        <f>IF(组合逻辑真值表!T4=1,$L3&amp;"+","")</f>
        <v/>
      </c>
      <c r="V3" s="12" t="str">
        <f>IF(组合逻辑真值表!U4=1,$L3&amp;"+","")</f>
        <v/>
      </c>
      <c r="W3" s="12" t="str">
        <f>IF(组合逻辑真值表!V4=1,$L3&amp;"+","")</f>
        <v/>
      </c>
      <c r="X3" s="12" t="str">
        <f>IF(组合逻辑真值表!W4=1,$L3&amp;"+","")</f>
        <v/>
      </c>
    </row>
    <row r="4" ht="14.4" spans="1:24">
      <c r="A4" s="3" t="str">
        <f>IF(组合逻辑真值表!A5&lt;&gt;"",IF(组合逻辑真值表!A5=1,组合逻辑真值表!A$2&amp;"&amp;",IF(组合逻辑真值表!A5=0,"~"&amp;组合逻辑真值表!A$2&amp;"&amp;","")),"")</f>
        <v/>
      </c>
      <c r="B4" s="3" t="str">
        <f>IF(组合逻辑真值表!B5&lt;&gt;"",IF(组合逻辑真值表!B5=1,组合逻辑真值表!B$2&amp;"&amp;",IF(组合逻辑真值表!B5=0,"~"&amp;组合逻辑真值表!B$2&amp;"&amp;","")),"")</f>
        <v/>
      </c>
      <c r="C4" s="3" t="str">
        <f>IF(组合逻辑真值表!C5&lt;&gt;"",IF(组合逻辑真值表!C5=1,组合逻辑真值表!C$2&amp;"&amp;",IF(组合逻辑真值表!C5=0,"~"&amp;组合逻辑真值表!C$2&amp;"&amp;","")),"")</f>
        <v/>
      </c>
      <c r="D4" s="3" t="str">
        <f>IF(组合逻辑真值表!D5&lt;&gt;"",IF(组合逻辑真值表!D5=1,组合逻辑真值表!D$2&amp;"&amp;",IF(组合逻辑真值表!D5=0,"~"&amp;组合逻辑真值表!D$2&amp;"&amp;","")),"")</f>
        <v/>
      </c>
      <c r="E4" s="3" t="str">
        <f>IF(组合逻辑真值表!E5&lt;&gt;"",IF(组合逻辑真值表!E5=1,组合逻辑真值表!E$2&amp;"&amp;",IF(组合逻辑真值表!E5=0,"~"&amp;组合逻辑真值表!E$2&amp;"&amp;","")),"")</f>
        <v/>
      </c>
      <c r="F4" s="3" t="str">
        <f>IF(组合逻辑真值表!F5&lt;&gt;"",IF(组合逻辑真值表!F5=1,组合逻辑真值表!F$2&amp;"&amp;",IF(组合逻辑真值表!F5=0,"~"&amp;组合逻辑真值表!F$2&amp;"&amp;","")),"")</f>
        <v/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11" t="str">
        <f t="shared" si="0"/>
        <v/>
      </c>
      <c r="M4" s="12" t="str">
        <f>IF(组合逻辑真值表!L5=1,$L4&amp;"+","")</f>
        <v/>
      </c>
      <c r="N4" s="12" t="str">
        <f>IF(组合逻辑真值表!M5=1,$L4&amp;"+","")</f>
        <v/>
      </c>
      <c r="O4" s="12" t="str">
        <f>IF(组合逻辑真值表!N5=1,$L4&amp;"+","")</f>
        <v/>
      </c>
      <c r="P4" s="12" t="str">
        <f>IF(组合逻辑真值表!O5=1,$L4&amp;"+","")</f>
        <v/>
      </c>
      <c r="Q4" s="12" t="str">
        <f>IF(组合逻辑真值表!P5=1,$L4&amp;"+","")</f>
        <v/>
      </c>
      <c r="R4" s="12" t="str">
        <f>IF(组合逻辑真值表!Q5=1,$L4&amp;"+","")</f>
        <v/>
      </c>
      <c r="S4" s="12" t="str">
        <f>IF(组合逻辑真值表!R5=1,$L4&amp;"+","")</f>
        <v/>
      </c>
      <c r="T4" s="12" t="str">
        <f>IF(组合逻辑真值表!S5=1,$L4&amp;"+","")</f>
        <v/>
      </c>
      <c r="U4" s="12" t="str">
        <f>IF(组合逻辑真值表!T5=1,$L4&amp;"+","")</f>
        <v/>
      </c>
      <c r="V4" s="12" t="str">
        <f>IF(组合逻辑真值表!U5=1,$L4&amp;"+","")</f>
        <v/>
      </c>
      <c r="W4" s="12" t="str">
        <f>IF(组合逻辑真值表!V5=1,$L4&amp;"+","")</f>
        <v/>
      </c>
      <c r="X4" s="12" t="str">
        <f>IF(组合逻辑真值表!W5=1,$L4&amp;"+","")</f>
        <v/>
      </c>
    </row>
    <row r="5" ht="14.4" spans="1:24">
      <c r="A5" s="3" t="str">
        <f>IF(组合逻辑真值表!A6&lt;&gt;"",IF(组合逻辑真值表!A6=1,组合逻辑真值表!A$2&amp;"&amp;",IF(组合逻辑真值表!A6=0,"~"&amp;组合逻辑真值表!A$2&amp;"&amp;","")),"")</f>
        <v/>
      </c>
      <c r="B5" s="3" t="str">
        <f>IF(组合逻辑真值表!B6&lt;&gt;"",IF(组合逻辑真值表!B6=1,组合逻辑真值表!B$2&amp;"&amp;",IF(组合逻辑真值表!B6=0,"~"&amp;组合逻辑真值表!B$2&amp;"&amp;","")),"")</f>
        <v/>
      </c>
      <c r="C5" s="3" t="str">
        <f>IF(组合逻辑真值表!C6&lt;&gt;"",IF(组合逻辑真值表!C6=1,组合逻辑真值表!C$2&amp;"&amp;",IF(组合逻辑真值表!C6=0,"~"&amp;组合逻辑真值表!C$2&amp;"&amp;","")),"")</f>
        <v/>
      </c>
      <c r="D5" s="3" t="str">
        <f>IF(组合逻辑真值表!D6&lt;&gt;"",IF(组合逻辑真值表!D6=1,组合逻辑真值表!D$2&amp;"&amp;",IF(组合逻辑真值表!D6=0,"~"&amp;组合逻辑真值表!D$2&amp;"&amp;","")),"")</f>
        <v/>
      </c>
      <c r="E5" s="3" t="str">
        <f>IF(组合逻辑真值表!E6&lt;&gt;"",IF(组合逻辑真值表!E6=1,组合逻辑真值表!E$2&amp;"&amp;",IF(组合逻辑真值表!E6=0,"~"&amp;组合逻辑真值表!E$2&amp;"&amp;","")),"")</f>
        <v/>
      </c>
      <c r="F5" s="3" t="str">
        <f>IF(组合逻辑真值表!F6&lt;&gt;"",IF(组合逻辑真值表!F6=1,组合逻辑真值表!F$2&amp;"&amp;",IF(组合逻辑真值表!F6=0,"~"&amp;组合逻辑真值表!F$2&amp;"&amp;","")),"")</f>
        <v/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11" t="str">
        <f t="shared" si="0"/>
        <v/>
      </c>
      <c r="M5" s="12" t="str">
        <f>IF(组合逻辑真值表!L6=1,$L5&amp;"+","")</f>
        <v/>
      </c>
      <c r="N5" s="12" t="str">
        <f>IF(组合逻辑真值表!M6=1,$L5&amp;"+","")</f>
        <v/>
      </c>
      <c r="O5" s="12" t="str">
        <f>IF(组合逻辑真值表!N6=1,$L5&amp;"+","")</f>
        <v/>
      </c>
      <c r="P5" s="12" t="str">
        <f>IF(组合逻辑真值表!O6=1,$L5&amp;"+","")</f>
        <v/>
      </c>
      <c r="Q5" s="12" t="str">
        <f>IF(组合逻辑真值表!P6=1,$L5&amp;"+","")</f>
        <v/>
      </c>
      <c r="R5" s="12" t="str">
        <f>IF(组合逻辑真值表!Q6=1,$L5&amp;"+","")</f>
        <v/>
      </c>
      <c r="S5" s="12" t="str">
        <f>IF(组合逻辑真值表!R6=1,$L5&amp;"+","")</f>
        <v/>
      </c>
      <c r="T5" s="12" t="str">
        <f>IF(组合逻辑真值表!S6=1,$L5&amp;"+","")</f>
        <v/>
      </c>
      <c r="U5" s="12" t="str">
        <f>IF(组合逻辑真值表!T6=1,$L5&amp;"+","")</f>
        <v/>
      </c>
      <c r="V5" s="12" t="str">
        <f>IF(组合逻辑真值表!U6=1,$L5&amp;"+","")</f>
        <v/>
      </c>
      <c r="W5" s="12" t="str">
        <f>IF(组合逻辑真值表!V6=1,$L5&amp;"+","")</f>
        <v/>
      </c>
      <c r="X5" s="12" t="str">
        <f>IF(组合逻辑真值表!W6=1,$L5&amp;"+","")</f>
        <v/>
      </c>
    </row>
    <row r="6" ht="14.4" spans="1:24">
      <c r="A6" s="3" t="str">
        <f>IF(组合逻辑真值表!A7&lt;&gt;"",IF(组合逻辑真值表!A7=1,组合逻辑真值表!A$2&amp;"&amp;",IF(组合逻辑真值表!A7=0,"~"&amp;组合逻辑真值表!A$2&amp;"&amp;","")),"")</f>
        <v/>
      </c>
      <c r="B6" s="3" t="str">
        <f>IF(组合逻辑真值表!B7&lt;&gt;"",IF(组合逻辑真值表!B7=1,组合逻辑真值表!B$2&amp;"&amp;",IF(组合逻辑真值表!B7=0,"~"&amp;组合逻辑真值表!B$2&amp;"&amp;","")),"")</f>
        <v/>
      </c>
      <c r="C6" s="3" t="str">
        <f>IF(组合逻辑真值表!C7&lt;&gt;"",IF(组合逻辑真值表!C7=1,组合逻辑真值表!C$2&amp;"&amp;",IF(组合逻辑真值表!C7=0,"~"&amp;组合逻辑真值表!C$2&amp;"&amp;","")),"")</f>
        <v/>
      </c>
      <c r="D6" s="3" t="str">
        <f>IF(组合逻辑真值表!D7&lt;&gt;"",IF(组合逻辑真值表!D7=1,组合逻辑真值表!D$2&amp;"&amp;",IF(组合逻辑真值表!D7=0,"~"&amp;组合逻辑真值表!D$2&amp;"&amp;","")),"")</f>
        <v/>
      </c>
      <c r="E6" s="3" t="str">
        <f>IF(组合逻辑真值表!E7&lt;&gt;"",IF(组合逻辑真值表!E7=1,组合逻辑真值表!E$2&amp;"&amp;",IF(组合逻辑真值表!E7=0,"~"&amp;组合逻辑真值表!E$2&amp;"&amp;","")),"")</f>
        <v/>
      </c>
      <c r="F6" s="3" t="str">
        <f>IF(组合逻辑真值表!F7&lt;&gt;"",IF(组合逻辑真值表!F7=1,组合逻辑真值表!F$2&amp;"&amp;",IF(组合逻辑真值表!F7=0,"~"&amp;组合逻辑真值表!F$2&amp;"&amp;","")),"")</f>
        <v/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11" t="str">
        <f t="shared" si="0"/>
        <v/>
      </c>
      <c r="M6" s="12" t="str">
        <f>IF(组合逻辑真值表!L7=1,$L6&amp;"+","")</f>
        <v/>
      </c>
      <c r="N6" s="12" t="str">
        <f>IF(组合逻辑真值表!M7=1,$L6&amp;"+","")</f>
        <v/>
      </c>
      <c r="O6" s="12" t="str">
        <f>IF(组合逻辑真值表!N7=1,$L6&amp;"+","")</f>
        <v/>
      </c>
      <c r="P6" s="12" t="str">
        <f>IF(组合逻辑真值表!O7=1,$L6&amp;"+","")</f>
        <v/>
      </c>
      <c r="Q6" s="12" t="str">
        <f>IF(组合逻辑真值表!P7=1,$L6&amp;"+","")</f>
        <v/>
      </c>
      <c r="R6" s="12" t="str">
        <f>IF(组合逻辑真值表!Q7=1,$L6&amp;"+","")</f>
        <v/>
      </c>
      <c r="S6" s="12" t="str">
        <f>IF(组合逻辑真值表!R7=1,$L6&amp;"+","")</f>
        <v/>
      </c>
      <c r="T6" s="12" t="str">
        <f>IF(组合逻辑真值表!S7=1,$L6&amp;"+","")</f>
        <v/>
      </c>
      <c r="U6" s="12" t="str">
        <f>IF(组合逻辑真值表!T7=1,$L6&amp;"+","")</f>
        <v/>
      </c>
      <c r="V6" s="12" t="str">
        <f>IF(组合逻辑真值表!U7=1,$L6&amp;"+","")</f>
        <v/>
      </c>
      <c r="W6" s="12" t="str">
        <f>IF(组合逻辑真值表!V7=1,$L6&amp;"+","")</f>
        <v/>
      </c>
      <c r="X6" s="12" t="str">
        <f>IF(组合逻辑真值表!W7=1,$L6&amp;"+","")</f>
        <v/>
      </c>
    </row>
    <row r="7" ht="14.4" spans="1:24">
      <c r="A7" s="3" t="str">
        <f>IF(组合逻辑真值表!A8&lt;&gt;"",IF(组合逻辑真值表!A8=1,组合逻辑真值表!A$2&amp;"&amp;",IF(组合逻辑真值表!A8=0,"~"&amp;组合逻辑真值表!A$2&amp;"&amp;","")),"")</f>
        <v/>
      </c>
      <c r="B7" s="3" t="str">
        <f>IF(组合逻辑真值表!B8&lt;&gt;"",IF(组合逻辑真值表!B8=1,组合逻辑真值表!B$2&amp;"&amp;",IF(组合逻辑真值表!B8=0,"~"&amp;组合逻辑真值表!B$2&amp;"&amp;","")),"")</f>
        <v/>
      </c>
      <c r="C7" s="3" t="str">
        <f>IF(组合逻辑真值表!C8&lt;&gt;"",IF(组合逻辑真值表!C8=1,组合逻辑真值表!C$2&amp;"&amp;",IF(组合逻辑真值表!C8=0,"~"&amp;组合逻辑真值表!C$2&amp;"&amp;","")),"")</f>
        <v/>
      </c>
      <c r="D7" s="3" t="str">
        <f>IF(组合逻辑真值表!D8&lt;&gt;"",IF(组合逻辑真值表!D8=1,组合逻辑真值表!D$2&amp;"&amp;",IF(组合逻辑真值表!D8=0,"~"&amp;组合逻辑真值表!D$2&amp;"&amp;","")),"")</f>
        <v/>
      </c>
      <c r="E7" s="3" t="str">
        <f>IF(组合逻辑真值表!E8&lt;&gt;"",IF(组合逻辑真值表!E8=1,组合逻辑真值表!E$2&amp;"&amp;",IF(组合逻辑真值表!E8=0,"~"&amp;组合逻辑真值表!E$2&amp;"&amp;","")),"")</f>
        <v/>
      </c>
      <c r="F7" s="3" t="str">
        <f>IF(组合逻辑真值表!F8&lt;&gt;"",IF(组合逻辑真值表!F8=1,组合逻辑真值表!F$2&amp;"&amp;",IF(组合逻辑真值表!F8=0,"~"&amp;组合逻辑真值表!F$2&amp;"&amp;","")),"")</f>
        <v/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11" t="str">
        <f t="shared" si="0"/>
        <v/>
      </c>
      <c r="M7" s="12" t="str">
        <f>IF(组合逻辑真值表!L8=1,$L7&amp;"+","")</f>
        <v/>
      </c>
      <c r="N7" s="12" t="str">
        <f>IF(组合逻辑真值表!M8=1,$L7&amp;"+","")</f>
        <v/>
      </c>
      <c r="O7" s="12" t="str">
        <f>IF(组合逻辑真值表!N8=1,$L7&amp;"+","")</f>
        <v/>
      </c>
      <c r="P7" s="12" t="str">
        <f>IF(组合逻辑真值表!O8=1,$L7&amp;"+","")</f>
        <v/>
      </c>
      <c r="Q7" s="12" t="str">
        <f>IF(组合逻辑真值表!P8=1,$L7&amp;"+","")</f>
        <v/>
      </c>
      <c r="R7" s="12" t="str">
        <f>IF(组合逻辑真值表!Q8=1,$L7&amp;"+","")</f>
        <v/>
      </c>
      <c r="S7" s="12" t="str">
        <f>IF(组合逻辑真值表!R8=1,$L7&amp;"+","")</f>
        <v/>
      </c>
      <c r="T7" s="12" t="str">
        <f>IF(组合逻辑真值表!S8=1,$L7&amp;"+","")</f>
        <v/>
      </c>
      <c r="U7" s="12" t="str">
        <f>IF(组合逻辑真值表!T8=1,$L7&amp;"+","")</f>
        <v/>
      </c>
      <c r="V7" s="12" t="str">
        <f>IF(组合逻辑真值表!U8=1,$L7&amp;"+","")</f>
        <v/>
      </c>
      <c r="W7" s="12" t="str">
        <f>IF(组合逻辑真值表!V8=1,$L7&amp;"+","")</f>
        <v/>
      </c>
      <c r="X7" s="12" t="str">
        <f>IF(组合逻辑真值表!W8=1,$L7&amp;"+","")</f>
        <v/>
      </c>
    </row>
    <row r="8" ht="14.4" spans="1:24">
      <c r="A8" s="3" t="str">
        <f>IF(组合逻辑真值表!A9&lt;&gt;"",IF(组合逻辑真值表!A9=1,组合逻辑真值表!A$2&amp;"&amp;",IF(组合逻辑真值表!A9=0,"~"&amp;组合逻辑真值表!A$2&amp;"&amp;","")),"")</f>
        <v/>
      </c>
      <c r="B8" s="3" t="str">
        <f>IF(组合逻辑真值表!B9&lt;&gt;"",IF(组合逻辑真值表!B9=1,组合逻辑真值表!B$2&amp;"&amp;",IF(组合逻辑真值表!B9=0,"~"&amp;组合逻辑真值表!B$2&amp;"&amp;","")),"")</f>
        <v/>
      </c>
      <c r="C8" s="3" t="str">
        <f>IF(组合逻辑真值表!C9&lt;&gt;"",IF(组合逻辑真值表!C9=1,组合逻辑真值表!C$2&amp;"&amp;",IF(组合逻辑真值表!C9=0,"~"&amp;组合逻辑真值表!C$2&amp;"&amp;","")),"")</f>
        <v/>
      </c>
      <c r="D8" s="3" t="str">
        <f>IF(组合逻辑真值表!D9&lt;&gt;"",IF(组合逻辑真值表!D9=1,组合逻辑真值表!D$2&amp;"&amp;",IF(组合逻辑真值表!D9=0,"~"&amp;组合逻辑真值表!D$2&amp;"&amp;","")),"")</f>
        <v/>
      </c>
      <c r="E8" s="3" t="str">
        <f>IF(组合逻辑真值表!E9&lt;&gt;"",IF(组合逻辑真值表!E9=1,组合逻辑真值表!E$2&amp;"&amp;",IF(组合逻辑真值表!E9=0,"~"&amp;组合逻辑真值表!E$2&amp;"&amp;","")),"")</f>
        <v/>
      </c>
      <c r="F8" s="3" t="str">
        <f>IF(组合逻辑真值表!F9&lt;&gt;"",IF(组合逻辑真值表!F9=1,组合逻辑真值表!F$2&amp;"&amp;",IF(组合逻辑真值表!F9=0,"~"&amp;组合逻辑真值表!F$2&amp;"&amp;","")),"")</f>
        <v/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11" t="str">
        <f t="shared" si="0"/>
        <v/>
      </c>
      <c r="M8" s="12" t="str">
        <f>IF(组合逻辑真值表!L9=1,$L8&amp;"+","")</f>
        <v/>
      </c>
      <c r="N8" s="12" t="str">
        <f>IF(组合逻辑真值表!M9=1,$L8&amp;"+","")</f>
        <v/>
      </c>
      <c r="O8" s="12" t="str">
        <f>IF(组合逻辑真值表!N9=1,$L8&amp;"+","")</f>
        <v/>
      </c>
      <c r="P8" s="12" t="str">
        <f>IF(组合逻辑真值表!O9=1,$L8&amp;"+","")</f>
        <v/>
      </c>
      <c r="Q8" s="12" t="str">
        <f>IF(组合逻辑真值表!P9=1,$L8&amp;"+","")</f>
        <v/>
      </c>
      <c r="R8" s="12" t="str">
        <f>IF(组合逻辑真值表!Q9=1,$L8&amp;"+","")</f>
        <v/>
      </c>
      <c r="S8" s="12" t="str">
        <f>IF(组合逻辑真值表!R9=1,$L8&amp;"+","")</f>
        <v/>
      </c>
      <c r="T8" s="12" t="str">
        <f>IF(组合逻辑真值表!S9=1,$L8&amp;"+","")</f>
        <v/>
      </c>
      <c r="U8" s="12" t="str">
        <f>IF(组合逻辑真值表!T9=1,$L8&amp;"+","")</f>
        <v/>
      </c>
      <c r="V8" s="12" t="str">
        <f>IF(组合逻辑真值表!U9=1,$L8&amp;"+","")</f>
        <v/>
      </c>
      <c r="W8" s="12" t="str">
        <f>IF(组合逻辑真值表!V9=1,$L8&amp;"+","")</f>
        <v/>
      </c>
      <c r="X8" s="12" t="str">
        <f>IF(组合逻辑真值表!W9=1,$L8&amp;"+","")</f>
        <v/>
      </c>
    </row>
    <row r="9" ht="14.4" spans="1:24">
      <c r="A9" s="3" t="str">
        <f>IF(组合逻辑真值表!A10&lt;&gt;"",IF(组合逻辑真值表!A10=1,组合逻辑真值表!A$2&amp;"&amp;",IF(组合逻辑真值表!A10=0,"~"&amp;组合逻辑真值表!A$2&amp;"&amp;","")),"")</f>
        <v/>
      </c>
      <c r="B9" s="3" t="str">
        <f>IF(组合逻辑真值表!B10&lt;&gt;"",IF(组合逻辑真值表!B10=1,组合逻辑真值表!B$2&amp;"&amp;",IF(组合逻辑真值表!B10=0,"~"&amp;组合逻辑真值表!B$2&amp;"&amp;","")),"")</f>
        <v/>
      </c>
      <c r="C9" s="3" t="str">
        <f>IF(组合逻辑真值表!C10&lt;&gt;"",IF(组合逻辑真值表!C10=1,组合逻辑真值表!C$2&amp;"&amp;",IF(组合逻辑真值表!C10=0,"~"&amp;组合逻辑真值表!C$2&amp;"&amp;","")),"")</f>
        <v/>
      </c>
      <c r="D9" s="3" t="str">
        <f>IF(组合逻辑真值表!D10&lt;&gt;"",IF(组合逻辑真值表!D10=1,组合逻辑真值表!D$2&amp;"&amp;",IF(组合逻辑真值表!D10=0,"~"&amp;组合逻辑真值表!D$2&amp;"&amp;","")),"")</f>
        <v/>
      </c>
      <c r="E9" s="3" t="str">
        <f>IF(组合逻辑真值表!E10&lt;&gt;"",IF(组合逻辑真值表!E10=1,组合逻辑真值表!E$2&amp;"&amp;",IF(组合逻辑真值表!E10=0,"~"&amp;组合逻辑真值表!E$2&amp;"&amp;","")),"")</f>
        <v/>
      </c>
      <c r="F9" s="3" t="str">
        <f>IF(组合逻辑真值表!F10&lt;&gt;"",IF(组合逻辑真值表!F10=1,组合逻辑真值表!F$2&amp;"&amp;",IF(组合逻辑真值表!F10=0,"~"&amp;组合逻辑真值表!F$2&amp;"&amp;","")),"")</f>
        <v/>
      </c>
      <c r="G9" s="3" t="str">
        <f>IF(组合逻辑真值表!G10&lt;&gt;"",IF(组合逻辑真值表!G10=1,组合逻辑真值表!G$2&amp;"&amp;",IF(组合逻辑真值表!G10=0,"~"&amp;组合逻辑真值表!G$2&amp;"&amp;","")),"")</f>
        <v/>
      </c>
      <c r="H9" s="3" t="str">
        <f>IF(组合逻辑真值表!H10&lt;&gt;"",IF(组合逻辑真值表!H10=1,组合逻辑真值表!H$2&amp;"&amp;",IF(组合逻辑真值表!H10=0,"~"&amp;组合逻辑真值表!H$2&amp;"&amp;","")),"")</f>
        <v/>
      </c>
      <c r="I9" s="3" t="str">
        <f>IF(组合逻辑真值表!I10&lt;&gt;"",IF(组合逻辑真值表!I10=1,组合逻辑真值表!I$2&amp;"&amp;",IF(组合逻辑真值表!I10=0,"~"&amp;组合逻辑真值表!I$2&amp;"&amp;","")),"")</f>
        <v/>
      </c>
      <c r="J9" s="3" t="str">
        <f>IF(组合逻辑真值表!J10&lt;&gt;"",IF(组合逻辑真值表!J10=1,组合逻辑真值表!J$2&amp;"&amp;",IF(组合逻辑真值表!J10=0,"~"&amp;组合逻辑真值表!J$2&amp;"&amp;","")),"")</f>
        <v/>
      </c>
      <c r="K9" s="3" t="str">
        <f>IF(组合逻辑真值表!K10&lt;&gt;"",IF(组合逻辑真值表!K10=1,组合逻辑真值表!K$2&amp;"&amp;",IF(组合逻辑真值表!K10=0,"~"&amp;组合逻辑真值表!K$2&amp;"&amp;","")),"")</f>
        <v/>
      </c>
      <c r="L9" s="11" t="str">
        <f t="shared" si="0"/>
        <v/>
      </c>
      <c r="M9" s="12" t="str">
        <f>IF(组合逻辑真值表!L10=1,$L9&amp;"+","")</f>
        <v/>
      </c>
      <c r="N9" s="12" t="str">
        <f>IF(组合逻辑真值表!M10=1,$L9&amp;"+","")</f>
        <v/>
      </c>
      <c r="O9" s="12" t="str">
        <f>IF(组合逻辑真值表!N10=1,$L9&amp;"+","")</f>
        <v/>
      </c>
      <c r="P9" s="12" t="str">
        <f>IF(组合逻辑真值表!O10=1,$L9&amp;"+","")</f>
        <v/>
      </c>
      <c r="Q9" s="12" t="str">
        <f>IF(组合逻辑真值表!P10=1,$L9&amp;"+","")</f>
        <v/>
      </c>
      <c r="R9" s="12" t="str">
        <f>IF(组合逻辑真值表!Q10=1,$L9&amp;"+","")</f>
        <v/>
      </c>
      <c r="S9" s="12" t="str">
        <f>IF(组合逻辑真值表!R10=1,$L9&amp;"+","")</f>
        <v/>
      </c>
      <c r="T9" s="12" t="str">
        <f>IF(组合逻辑真值表!S10=1,$L9&amp;"+","")</f>
        <v/>
      </c>
      <c r="U9" s="12" t="str">
        <f>IF(组合逻辑真值表!T10=1,$L9&amp;"+","")</f>
        <v/>
      </c>
      <c r="V9" s="12" t="str">
        <f>IF(组合逻辑真值表!U10=1,$L9&amp;"+","")</f>
        <v/>
      </c>
      <c r="W9" s="12" t="str">
        <f>IF(组合逻辑真值表!V10=1,$L9&amp;"+","")</f>
        <v/>
      </c>
      <c r="X9" s="12" t="str">
        <f>IF(组合逻辑真值表!W10=1,$L9&amp;"+","")</f>
        <v/>
      </c>
    </row>
    <row r="10" ht="14.4" spans="1:24">
      <c r="A10" s="3" t="str">
        <f>IF(组合逻辑真值表!A11&lt;&gt;"",IF(组合逻辑真值表!A11=1,组合逻辑真值表!A$2&amp;"&amp;",IF(组合逻辑真值表!A11=0,"~"&amp;组合逻辑真值表!A$2&amp;"&amp;","")),"")</f>
        <v/>
      </c>
      <c r="B10" s="3" t="str">
        <f>IF(组合逻辑真值表!B11&lt;&gt;"",IF(组合逻辑真值表!B11=1,组合逻辑真值表!B$2&amp;"&amp;",IF(组合逻辑真值表!B11=0,"~"&amp;组合逻辑真值表!B$2&amp;"&amp;","")),"")</f>
        <v/>
      </c>
      <c r="C10" s="3" t="str">
        <f>IF(组合逻辑真值表!C11&lt;&gt;"",IF(组合逻辑真值表!C11=1,组合逻辑真值表!C$2&amp;"&amp;",IF(组合逻辑真值表!C11=0,"~"&amp;组合逻辑真值表!C$2&amp;"&amp;","")),"")</f>
        <v/>
      </c>
      <c r="D10" s="3" t="str">
        <f>IF(组合逻辑真值表!D11&lt;&gt;"",IF(组合逻辑真值表!D11=1,组合逻辑真值表!D$2&amp;"&amp;",IF(组合逻辑真值表!D11=0,"~"&amp;组合逻辑真值表!D$2&amp;"&amp;","")),"")</f>
        <v/>
      </c>
      <c r="E10" s="3" t="str">
        <f>IF(组合逻辑真值表!E11&lt;&gt;"",IF(组合逻辑真值表!E11=1,组合逻辑真值表!E$2&amp;"&amp;",IF(组合逻辑真值表!E11=0,"~"&amp;组合逻辑真值表!E$2&amp;"&amp;","")),"")</f>
        <v/>
      </c>
      <c r="F10" s="3" t="str">
        <f>IF(组合逻辑真值表!F11&lt;&gt;"",IF(组合逻辑真值表!F11=1,组合逻辑真值表!F$2&amp;"&amp;",IF(组合逻辑真值表!F11=0,"~"&amp;组合逻辑真值表!F$2&amp;"&amp;","")),"")</f>
        <v/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11" t="str">
        <f t="shared" si="0"/>
        <v/>
      </c>
      <c r="M10" s="12" t="str">
        <f>IF(组合逻辑真值表!L11=1,$L10&amp;"+","")</f>
        <v/>
      </c>
      <c r="N10" s="12" t="str">
        <f>IF(组合逻辑真值表!M11=1,$L10&amp;"+","")</f>
        <v/>
      </c>
      <c r="O10" s="12" t="str">
        <f>IF(组合逻辑真值表!N11=1,$L10&amp;"+","")</f>
        <v/>
      </c>
      <c r="P10" s="12" t="str">
        <f>IF(组合逻辑真值表!O11=1,$L10&amp;"+","")</f>
        <v/>
      </c>
      <c r="Q10" s="12" t="str">
        <f>IF(组合逻辑真值表!P11=1,$L10&amp;"+","")</f>
        <v/>
      </c>
      <c r="R10" s="12" t="str">
        <f>IF(组合逻辑真值表!Q11=1,$L10&amp;"+","")</f>
        <v/>
      </c>
      <c r="S10" s="12" t="str">
        <f>IF(组合逻辑真值表!R11=1,$L10&amp;"+","")</f>
        <v/>
      </c>
      <c r="T10" s="12" t="str">
        <f>IF(组合逻辑真值表!S11=1,$L10&amp;"+","")</f>
        <v/>
      </c>
      <c r="U10" s="12" t="str">
        <f>IF(组合逻辑真值表!T11=1,$L10&amp;"+","")</f>
        <v/>
      </c>
      <c r="V10" s="12" t="str">
        <f>IF(组合逻辑真值表!U11=1,$L10&amp;"+","")</f>
        <v/>
      </c>
      <c r="W10" s="12" t="str">
        <f>IF(组合逻辑真值表!V11=1,$L10&amp;"+","")</f>
        <v/>
      </c>
      <c r="X10" s="12" t="str">
        <f>IF(组合逻辑真值表!W11=1,$L10&amp;"+","")</f>
        <v/>
      </c>
    </row>
    <row r="11" ht="14.4" spans="1:24">
      <c r="A11" s="3" t="str">
        <f>IF(组合逻辑真值表!A12&lt;&gt;"",IF(组合逻辑真值表!A12=1,组合逻辑真值表!A$2&amp;"&amp;",IF(组合逻辑真值表!A12=0,"~"&amp;组合逻辑真值表!A$2&amp;"&amp;","")),"")</f>
        <v/>
      </c>
      <c r="B11" s="3" t="str">
        <f>IF(组合逻辑真值表!B12&lt;&gt;"",IF(组合逻辑真值表!B12=1,组合逻辑真值表!B$2&amp;"&amp;",IF(组合逻辑真值表!B12=0,"~"&amp;组合逻辑真值表!B$2&amp;"&amp;","")),"")</f>
        <v/>
      </c>
      <c r="C11" s="3" t="str">
        <f>IF(组合逻辑真值表!C12&lt;&gt;"",IF(组合逻辑真值表!C12=1,组合逻辑真值表!C$2&amp;"&amp;",IF(组合逻辑真值表!C12=0,"~"&amp;组合逻辑真值表!C$2&amp;"&amp;","")),"")</f>
        <v/>
      </c>
      <c r="D11" s="3" t="str">
        <f>IF(组合逻辑真值表!D12&lt;&gt;"",IF(组合逻辑真值表!D12=1,组合逻辑真值表!D$2&amp;"&amp;",IF(组合逻辑真值表!D12=0,"~"&amp;组合逻辑真值表!D$2&amp;"&amp;","")),"")</f>
        <v/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11" t="str">
        <f t="shared" si="0"/>
        <v/>
      </c>
      <c r="M11" s="12" t="str">
        <f>IF(组合逻辑真值表!L12=1,$L11&amp;"+","")</f>
        <v/>
      </c>
      <c r="N11" s="12" t="str">
        <f>IF(组合逻辑真值表!M12=1,$L11&amp;"+","")</f>
        <v/>
      </c>
      <c r="O11" s="12" t="str">
        <f>IF(组合逻辑真值表!N12=1,$L11&amp;"+","")</f>
        <v/>
      </c>
      <c r="P11" s="12" t="str">
        <f>IF(组合逻辑真值表!O12=1,$L11&amp;"+","")</f>
        <v/>
      </c>
      <c r="Q11" s="12" t="str">
        <f>IF(组合逻辑真值表!P12=1,$L11&amp;"+","")</f>
        <v/>
      </c>
      <c r="R11" s="12" t="str">
        <f>IF(组合逻辑真值表!Q12=1,$L11&amp;"+","")</f>
        <v/>
      </c>
      <c r="S11" s="12" t="str">
        <f>IF(组合逻辑真值表!R12=1,$L11&amp;"+","")</f>
        <v/>
      </c>
      <c r="T11" s="12" t="str">
        <f>IF(组合逻辑真值表!S12=1,$L11&amp;"+","")</f>
        <v/>
      </c>
      <c r="U11" s="12" t="str">
        <f>IF(组合逻辑真值表!T12=1,$L11&amp;"+","")</f>
        <v/>
      </c>
      <c r="V11" s="12" t="str">
        <f>IF(组合逻辑真值表!U12=1,$L11&amp;"+","")</f>
        <v/>
      </c>
      <c r="W11" s="12" t="str">
        <f>IF(组合逻辑真值表!V12=1,$L11&amp;"+","")</f>
        <v/>
      </c>
      <c r="X11" s="12" t="str">
        <f>IF(组合逻辑真值表!W12=1,$L11&amp;"+","")</f>
        <v/>
      </c>
    </row>
    <row r="12" ht="14.4" spans="1:24">
      <c r="A12" s="3" t="str">
        <f>IF(组合逻辑真值表!A13&lt;&gt;"",IF(组合逻辑真值表!A13=1,组合逻辑真值表!A$2&amp;"&amp;",IF(组合逻辑真值表!A13=0,"~"&amp;组合逻辑真值表!A$2&amp;"&amp;","")),"")</f>
        <v/>
      </c>
      <c r="B12" s="3" t="str">
        <f>IF(组合逻辑真值表!B13&lt;&gt;"",IF(组合逻辑真值表!B13=1,组合逻辑真值表!B$2&amp;"&amp;",IF(组合逻辑真值表!B13=0,"~"&amp;组合逻辑真值表!B$2&amp;"&amp;","")),"")</f>
        <v/>
      </c>
      <c r="C12" s="3" t="str">
        <f>IF(组合逻辑真值表!C13&lt;&gt;"",IF(组合逻辑真值表!C13=1,组合逻辑真值表!C$2&amp;"&amp;",IF(组合逻辑真值表!C13=0,"~"&amp;组合逻辑真值表!C$2&amp;"&amp;","")),"")</f>
        <v/>
      </c>
      <c r="D12" s="3" t="str">
        <f>IF(组合逻辑真值表!D13&lt;&gt;"",IF(组合逻辑真值表!D13=1,组合逻辑真值表!D$2&amp;"&amp;",IF(组合逻辑真值表!D13=0,"~"&amp;组合逻辑真值表!D$2&amp;"&amp;","")),"")</f>
        <v/>
      </c>
      <c r="E12" s="3" t="str">
        <f>IF(组合逻辑真值表!E13&lt;&gt;"",IF(组合逻辑真值表!E13=1,组合逻辑真值表!E$2&amp;"&amp;",IF(组合逻辑真值表!E13=0,"~"&amp;组合逻辑真值表!E$2&amp;"&amp;","")),"")</f>
        <v/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11" t="str">
        <f t="shared" si="0"/>
        <v/>
      </c>
      <c r="M12" s="12" t="str">
        <f>IF(组合逻辑真值表!L13=1,$L12&amp;"+","")</f>
        <v/>
      </c>
      <c r="N12" s="12" t="str">
        <f>IF(组合逻辑真值表!M13=1,$L12&amp;"+","")</f>
        <v/>
      </c>
      <c r="O12" s="12" t="str">
        <f>IF(组合逻辑真值表!N13=1,$L12&amp;"+","")</f>
        <v/>
      </c>
      <c r="P12" s="12" t="str">
        <f>IF(组合逻辑真值表!O13=1,$L12&amp;"+","")</f>
        <v/>
      </c>
      <c r="Q12" s="12" t="str">
        <f>IF(组合逻辑真值表!P13=1,$L12&amp;"+","")</f>
        <v/>
      </c>
      <c r="R12" s="12" t="str">
        <f>IF(组合逻辑真值表!Q13=1,$L12&amp;"+","")</f>
        <v/>
      </c>
      <c r="S12" s="12" t="str">
        <f>IF(组合逻辑真值表!R13=1,$L12&amp;"+","")</f>
        <v/>
      </c>
      <c r="T12" s="12" t="str">
        <f>IF(组合逻辑真值表!S13=1,$L12&amp;"+","")</f>
        <v/>
      </c>
      <c r="U12" s="12" t="str">
        <f>IF(组合逻辑真值表!T13=1,$L12&amp;"+","")</f>
        <v/>
      </c>
      <c r="V12" s="12" t="str">
        <f>IF(组合逻辑真值表!U13=1,$L12&amp;"+","")</f>
        <v/>
      </c>
      <c r="W12" s="12" t="str">
        <f>IF(组合逻辑真值表!V13=1,$L12&amp;"+","")</f>
        <v/>
      </c>
      <c r="X12" s="12" t="str">
        <f>IF(组合逻辑真值表!W13=1,$L12&amp;"+","")</f>
        <v/>
      </c>
    </row>
    <row r="13" ht="14.4" spans="1:24">
      <c r="A13" s="3" t="str">
        <f>IF(组合逻辑真值表!A14&lt;&gt;"",IF(组合逻辑真值表!A14=1,组合逻辑真值表!A$2&amp;"&amp;",IF(组合逻辑真值表!A14=0,"~"&amp;组合逻辑真值表!A$2&amp;"&amp;","")),"")</f>
        <v/>
      </c>
      <c r="B13" s="3" t="str">
        <f>IF(组合逻辑真值表!B14&lt;&gt;"",IF(组合逻辑真值表!B14=1,组合逻辑真值表!B$2&amp;"&amp;",IF(组合逻辑真值表!B14=0,"~"&amp;组合逻辑真值表!B$2&amp;"&amp;","")),"")</f>
        <v/>
      </c>
      <c r="C13" s="3" t="str">
        <f>IF(组合逻辑真值表!C14&lt;&gt;"",IF(组合逻辑真值表!C14=1,组合逻辑真值表!C$2&amp;"&amp;",IF(组合逻辑真值表!C14=0,"~"&amp;组合逻辑真值表!C$2&amp;"&amp;","")),"")</f>
        <v/>
      </c>
      <c r="D13" s="3" t="str">
        <f>IF(组合逻辑真值表!D14&lt;&gt;"",IF(组合逻辑真值表!D14=1,组合逻辑真值表!D$2&amp;"&amp;",IF(组合逻辑真值表!D14=0,"~"&amp;组合逻辑真值表!D$2&amp;"&amp;","")),"")</f>
        <v/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11" t="str">
        <f t="shared" si="0"/>
        <v/>
      </c>
      <c r="M13" s="12" t="str">
        <f>IF(组合逻辑真值表!L14=1,$L13&amp;"+","")</f>
        <v/>
      </c>
      <c r="N13" s="12" t="str">
        <f>IF(组合逻辑真值表!M14=1,$L13&amp;"+","")</f>
        <v/>
      </c>
      <c r="O13" s="12" t="str">
        <f>IF(组合逻辑真值表!N14=1,$L13&amp;"+","")</f>
        <v/>
      </c>
      <c r="P13" s="12" t="str">
        <f>IF(组合逻辑真值表!O14=1,$L13&amp;"+","")</f>
        <v/>
      </c>
      <c r="Q13" s="12" t="str">
        <f>IF(组合逻辑真值表!P14=1,$L13&amp;"+","")</f>
        <v/>
      </c>
      <c r="R13" s="12" t="str">
        <f>IF(组合逻辑真值表!Q14=1,$L13&amp;"+","")</f>
        <v/>
      </c>
      <c r="S13" s="12" t="str">
        <f>IF(组合逻辑真值表!R14=1,$L13&amp;"+","")</f>
        <v/>
      </c>
      <c r="T13" s="12" t="str">
        <f>IF(组合逻辑真值表!S14=1,$L13&amp;"+","")</f>
        <v/>
      </c>
      <c r="U13" s="12" t="str">
        <f>IF(组合逻辑真值表!T14=1,$L13&amp;"+","")</f>
        <v/>
      </c>
      <c r="V13" s="12" t="str">
        <f>IF(组合逻辑真值表!U14=1,$L13&amp;"+","")</f>
        <v/>
      </c>
      <c r="W13" s="12" t="str">
        <f>IF(组合逻辑真值表!V14=1,$L13&amp;"+","")</f>
        <v/>
      </c>
      <c r="X13" s="12" t="str">
        <f>IF(组合逻辑真值表!W14=1,$L13&amp;"+","")</f>
        <v/>
      </c>
    </row>
    <row r="14" ht="14.4" spans="1:24">
      <c r="A14" s="3" t="str">
        <f>IF(组合逻辑真值表!A15&lt;&gt;"",IF(组合逻辑真值表!A15=1,组合逻辑真值表!A$2&amp;"&amp;",IF(组合逻辑真值表!A15=0,"~"&amp;组合逻辑真值表!A$2&amp;"&amp;","")),"")</f>
        <v/>
      </c>
      <c r="B14" s="3" t="str">
        <f>IF(组合逻辑真值表!B15&lt;&gt;"",IF(组合逻辑真值表!B15=1,组合逻辑真值表!B$2&amp;"&amp;",IF(组合逻辑真值表!B15=0,"~"&amp;组合逻辑真值表!B$2&amp;"&amp;","")),"")</f>
        <v/>
      </c>
      <c r="C14" s="3" t="str">
        <f>IF(组合逻辑真值表!C15&lt;&gt;"",IF(组合逻辑真值表!C15=1,组合逻辑真值表!C$2&amp;"&amp;",IF(组合逻辑真值表!C15=0,"~"&amp;组合逻辑真值表!C$2&amp;"&amp;","")),"")</f>
        <v/>
      </c>
      <c r="D14" s="3" t="str">
        <f>IF(组合逻辑真值表!D15&lt;&gt;"",IF(组合逻辑真值表!D15=1,组合逻辑真值表!D$2&amp;"&amp;",IF(组合逻辑真值表!D15=0,"~"&amp;组合逻辑真值表!D$2&amp;"&amp;","")),"")</f>
        <v/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11" t="str">
        <f t="shared" si="0"/>
        <v/>
      </c>
      <c r="M14" s="12" t="str">
        <f>IF(组合逻辑真值表!L15=1,$L14&amp;"+","")</f>
        <v/>
      </c>
      <c r="N14" s="12" t="str">
        <f>IF(组合逻辑真值表!M15=1,$L14&amp;"+","")</f>
        <v/>
      </c>
      <c r="O14" s="12" t="str">
        <f>IF(组合逻辑真值表!N15=1,$L14&amp;"+","")</f>
        <v/>
      </c>
      <c r="P14" s="12" t="str">
        <f>IF(组合逻辑真值表!O15=1,$L14&amp;"+","")</f>
        <v/>
      </c>
      <c r="Q14" s="12" t="str">
        <f>IF(组合逻辑真值表!P15=1,$L14&amp;"+","")</f>
        <v/>
      </c>
      <c r="R14" s="12" t="str">
        <f>IF(组合逻辑真值表!Q15=1,$L14&amp;"+","")</f>
        <v/>
      </c>
      <c r="S14" s="12" t="str">
        <f>IF(组合逻辑真值表!R15=1,$L14&amp;"+","")</f>
        <v/>
      </c>
      <c r="T14" s="12" t="str">
        <f>IF(组合逻辑真值表!S15=1,$L14&amp;"+","")</f>
        <v/>
      </c>
      <c r="U14" s="12" t="str">
        <f>IF(组合逻辑真值表!T15=1,$L14&amp;"+","")</f>
        <v/>
      </c>
      <c r="V14" s="12" t="str">
        <f>IF(组合逻辑真值表!U15=1,$L14&amp;"+","")</f>
        <v/>
      </c>
      <c r="W14" s="12" t="str">
        <f>IF(组合逻辑真值表!V15=1,$L14&amp;"+","")</f>
        <v/>
      </c>
      <c r="X14" s="12" t="str">
        <f>IF(组合逻辑真值表!W15=1,$L14&amp;"+","")</f>
        <v/>
      </c>
    </row>
    <row r="15" ht="14.4" spans="1:24">
      <c r="A15" s="3" t="str">
        <f>IF(组合逻辑真值表!A16&lt;&gt;"",IF(组合逻辑真值表!A16=1,组合逻辑真值表!A$2&amp;"&amp;",IF(组合逻辑真值表!A16=0,"~"&amp;组合逻辑真值表!A$2&amp;"&amp;","")),"")</f>
        <v/>
      </c>
      <c r="B15" s="3" t="str">
        <f>IF(组合逻辑真值表!B16&lt;&gt;"",IF(组合逻辑真值表!B16=1,组合逻辑真值表!B$2&amp;"&amp;",IF(组合逻辑真值表!B16=0,"~"&amp;组合逻辑真值表!B$2&amp;"&amp;","")),"")</f>
        <v/>
      </c>
      <c r="C15" s="3" t="str">
        <f>IF(组合逻辑真值表!C16&lt;&gt;"",IF(组合逻辑真值表!C16=1,组合逻辑真值表!C$2&amp;"&amp;",IF(组合逻辑真值表!C16=0,"~"&amp;组合逻辑真值表!C$2&amp;"&amp;","")),"")</f>
        <v/>
      </c>
      <c r="D15" s="3" t="str">
        <f>IF(组合逻辑真值表!D16&lt;&gt;"",IF(组合逻辑真值表!D16=1,组合逻辑真值表!D$2&amp;"&amp;",IF(组合逻辑真值表!D16=0,"~"&amp;组合逻辑真值表!D$2&amp;"&amp;","")),"")</f>
        <v/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11" t="str">
        <f t="shared" si="0"/>
        <v/>
      </c>
      <c r="M15" s="12" t="str">
        <f>IF(组合逻辑真值表!L16=1,$L15&amp;"+","")</f>
        <v/>
      </c>
      <c r="N15" s="12" t="str">
        <f>IF(组合逻辑真值表!M16=1,$L15&amp;"+","")</f>
        <v/>
      </c>
      <c r="O15" s="12" t="str">
        <f>IF(组合逻辑真值表!N16=1,$L15&amp;"+","")</f>
        <v/>
      </c>
      <c r="P15" s="12" t="str">
        <f>IF(组合逻辑真值表!O16=1,$L15&amp;"+","")</f>
        <v/>
      </c>
      <c r="Q15" s="12" t="str">
        <f>IF(组合逻辑真值表!P16=1,$L15&amp;"+","")</f>
        <v/>
      </c>
      <c r="R15" s="12" t="str">
        <f>IF(组合逻辑真值表!Q16=1,$L15&amp;"+","")</f>
        <v/>
      </c>
      <c r="S15" s="12" t="str">
        <f>IF(组合逻辑真值表!R16=1,$L15&amp;"+","")</f>
        <v/>
      </c>
      <c r="T15" s="12" t="str">
        <f>IF(组合逻辑真值表!S16=1,$L15&amp;"+","")</f>
        <v/>
      </c>
      <c r="U15" s="12" t="str">
        <f>IF(组合逻辑真值表!T16=1,$L15&amp;"+","")</f>
        <v/>
      </c>
      <c r="V15" s="12" t="str">
        <f>IF(组合逻辑真值表!U16=1,$L15&amp;"+","")</f>
        <v/>
      </c>
      <c r="W15" s="12" t="str">
        <f>IF(组合逻辑真值表!V16=1,$L15&amp;"+","")</f>
        <v/>
      </c>
      <c r="X15" s="12" t="str">
        <f>IF(组合逻辑真值表!W16=1,$L15&amp;"+","")</f>
        <v/>
      </c>
    </row>
    <row r="16" ht="14.4" spans="1:24">
      <c r="A16" s="3" t="str">
        <f>IF(组合逻辑真值表!A17&lt;&gt;"",IF(组合逻辑真值表!A17=1,组合逻辑真值表!A$2&amp;"&amp;",IF(组合逻辑真值表!A17=0,"~"&amp;组合逻辑真值表!A$2&amp;"&amp;","")),"")</f>
        <v/>
      </c>
      <c r="B16" s="3" t="str">
        <f>IF(组合逻辑真值表!B17&lt;&gt;"",IF(组合逻辑真值表!B17=1,组合逻辑真值表!B$2&amp;"&amp;",IF(组合逻辑真值表!B17=0,"~"&amp;组合逻辑真值表!B$2&amp;"&amp;","")),"")</f>
        <v/>
      </c>
      <c r="C16" s="3" t="str">
        <f>IF(组合逻辑真值表!C17&lt;&gt;"",IF(组合逻辑真值表!C17=1,组合逻辑真值表!C$2&amp;"&amp;",IF(组合逻辑真值表!C17=0,"~"&amp;组合逻辑真值表!C$2&amp;"&amp;","")),"")</f>
        <v/>
      </c>
      <c r="D16" s="3" t="str">
        <f>IF(组合逻辑真值表!D17&lt;&gt;"",IF(组合逻辑真值表!D17=1,组合逻辑真值表!D$2&amp;"&amp;",IF(组合逻辑真值表!D17=0,"~"&amp;组合逻辑真值表!D$2&amp;"&amp;","")),"")</f>
        <v/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11" t="str">
        <f t="shared" si="0"/>
        <v/>
      </c>
      <c r="M16" s="12" t="str">
        <f>IF(组合逻辑真值表!L17=1,$L16&amp;"+","")</f>
        <v/>
      </c>
      <c r="N16" s="12" t="str">
        <f>IF(组合逻辑真值表!M17=1,$L16&amp;"+","")</f>
        <v/>
      </c>
      <c r="O16" s="12" t="str">
        <f>IF(组合逻辑真值表!N17=1,$L16&amp;"+","")</f>
        <v/>
      </c>
      <c r="P16" s="12" t="str">
        <f>IF(组合逻辑真值表!O17=1,$L16&amp;"+","")</f>
        <v/>
      </c>
      <c r="Q16" s="12" t="str">
        <f>IF(组合逻辑真值表!P17=1,$L16&amp;"+","")</f>
        <v/>
      </c>
      <c r="R16" s="12" t="str">
        <f>IF(组合逻辑真值表!Q17=1,$L16&amp;"+","")</f>
        <v/>
      </c>
      <c r="S16" s="12" t="str">
        <f>IF(组合逻辑真值表!R17=1,$L16&amp;"+","")</f>
        <v/>
      </c>
      <c r="T16" s="12" t="str">
        <f>IF(组合逻辑真值表!S17=1,$L16&amp;"+","")</f>
        <v/>
      </c>
      <c r="U16" s="12" t="str">
        <f>IF(组合逻辑真值表!T17=1,$L16&amp;"+","")</f>
        <v/>
      </c>
      <c r="V16" s="12" t="str">
        <f>IF(组合逻辑真值表!U17=1,$L16&amp;"+","")</f>
        <v/>
      </c>
      <c r="W16" s="12" t="str">
        <f>IF(组合逻辑真值表!V17=1,$L16&amp;"+","")</f>
        <v/>
      </c>
      <c r="X16" s="12" t="str">
        <f>IF(组合逻辑真值表!W17=1,$L16&amp;"+","")</f>
        <v/>
      </c>
    </row>
    <row r="17" ht="14.4" spans="1:24">
      <c r="A17" s="3" t="str">
        <f>IF(组合逻辑真值表!A18&lt;&gt;"",IF(组合逻辑真值表!A18=1,组合逻辑真值表!A$2&amp;"&amp;",IF(组合逻辑真值表!A18=0,"~"&amp;组合逻辑真值表!A$2&amp;"&amp;","")),"")</f>
        <v/>
      </c>
      <c r="B17" s="3" t="str">
        <f>IF(组合逻辑真值表!B18&lt;&gt;"",IF(组合逻辑真值表!B18=1,组合逻辑真值表!B$2&amp;"&amp;",IF(组合逻辑真值表!B18=0,"~"&amp;组合逻辑真值表!B$2&amp;"&amp;","")),"")</f>
        <v/>
      </c>
      <c r="C17" s="3" t="str">
        <f>IF(组合逻辑真值表!C18&lt;&gt;"",IF(组合逻辑真值表!C18=1,组合逻辑真值表!C$2&amp;"&amp;",IF(组合逻辑真值表!C18=0,"~"&amp;组合逻辑真值表!C$2&amp;"&amp;","")),"")</f>
        <v/>
      </c>
      <c r="D17" s="3" t="str">
        <f>IF(组合逻辑真值表!D18&lt;&gt;"",IF(组合逻辑真值表!D18=1,组合逻辑真值表!D$2&amp;"&amp;",IF(组合逻辑真值表!D18=0,"~"&amp;组合逻辑真值表!D$2&amp;"&amp;","")),"")</f>
        <v/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11" t="str">
        <f t="shared" si="0"/>
        <v/>
      </c>
      <c r="M17" s="12" t="str">
        <f>IF(组合逻辑真值表!L18=1,$L17&amp;"+","")</f>
        <v/>
      </c>
      <c r="N17" s="12" t="str">
        <f>IF(组合逻辑真值表!M18=1,$L17&amp;"+","")</f>
        <v/>
      </c>
      <c r="O17" s="12" t="str">
        <f>IF(组合逻辑真值表!N18=1,$L17&amp;"+","")</f>
        <v/>
      </c>
      <c r="P17" s="12" t="str">
        <f>IF(组合逻辑真值表!O18=1,$L17&amp;"+","")</f>
        <v/>
      </c>
      <c r="Q17" s="12" t="str">
        <f>IF(组合逻辑真值表!P18=1,$L17&amp;"+","")</f>
        <v/>
      </c>
      <c r="R17" s="12" t="str">
        <f>IF(组合逻辑真值表!Q18=1,$L17&amp;"+","")</f>
        <v/>
      </c>
      <c r="S17" s="12" t="str">
        <f>IF(组合逻辑真值表!R18=1,$L17&amp;"+","")</f>
        <v/>
      </c>
      <c r="T17" s="12" t="str">
        <f>IF(组合逻辑真值表!S18=1,$L17&amp;"+","")</f>
        <v/>
      </c>
      <c r="U17" s="12" t="str">
        <f>IF(组合逻辑真值表!T18=1,$L17&amp;"+","")</f>
        <v/>
      </c>
      <c r="V17" s="12" t="str">
        <f>IF(组合逻辑真值表!U18=1,$L17&amp;"+","")</f>
        <v/>
      </c>
      <c r="W17" s="12" t="str">
        <f>IF(组合逻辑真值表!V18=1,$L17&amp;"+","")</f>
        <v/>
      </c>
      <c r="X17" s="12" t="str">
        <f>IF(组合逻辑真值表!W18=1,$L17&amp;"+","")</f>
        <v/>
      </c>
    </row>
    <row r="18" ht="14.4" spans="1:24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11" t="str">
        <f t="shared" si="0"/>
        <v/>
      </c>
      <c r="M18" s="12" t="str">
        <f>IF(组合逻辑真值表!L19=1,$L18&amp;"+","")</f>
        <v/>
      </c>
      <c r="N18" s="12" t="str">
        <f>IF(组合逻辑真值表!M19=1,$L18&amp;"+","")</f>
        <v/>
      </c>
      <c r="O18" s="12" t="str">
        <f>IF(组合逻辑真值表!N19=1,$L18&amp;"+","")</f>
        <v/>
      </c>
      <c r="P18" s="12" t="str">
        <f>IF(组合逻辑真值表!O19=1,$L18&amp;"+","")</f>
        <v/>
      </c>
      <c r="Q18" s="12" t="str">
        <f>IF(组合逻辑真值表!P19=1,$L18&amp;"+","")</f>
        <v/>
      </c>
      <c r="R18" s="12" t="str">
        <f>IF(组合逻辑真值表!Q19=1,$L18&amp;"+","")</f>
        <v/>
      </c>
      <c r="S18" s="12" t="str">
        <f>IF(组合逻辑真值表!R19=1,$L18&amp;"+","")</f>
        <v/>
      </c>
      <c r="T18" s="12" t="str">
        <f>IF(组合逻辑真值表!S19=1,$L18&amp;"+","")</f>
        <v/>
      </c>
      <c r="U18" s="12" t="str">
        <f>IF(组合逻辑真值表!T19=1,$L18&amp;"+","")</f>
        <v/>
      </c>
      <c r="V18" s="12" t="str">
        <f>IF(组合逻辑真值表!U19=1,$L18&amp;"+","")</f>
        <v/>
      </c>
      <c r="W18" s="12" t="str">
        <f>IF(组合逻辑真值表!V19=1,$L18&amp;"+","")</f>
        <v/>
      </c>
      <c r="X18" s="12" t="str">
        <f>IF(组合逻辑真值表!W19=1,$L18&amp;"+","")</f>
        <v/>
      </c>
    </row>
    <row r="19" ht="14.4" spans="1:24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11" t="str">
        <f t="shared" si="0"/>
        <v/>
      </c>
      <c r="M19" s="12" t="str">
        <f>IF(组合逻辑真值表!L20=1,$L19&amp;"+","")</f>
        <v/>
      </c>
      <c r="N19" s="12" t="str">
        <f>IF(组合逻辑真值表!M20=1,$L19&amp;"+","")</f>
        <v/>
      </c>
      <c r="O19" s="12" t="str">
        <f>IF(组合逻辑真值表!N20=1,$L19&amp;"+","")</f>
        <v/>
      </c>
      <c r="P19" s="12" t="str">
        <f>IF(组合逻辑真值表!O20=1,$L19&amp;"+","")</f>
        <v/>
      </c>
      <c r="Q19" s="12" t="str">
        <f>IF(组合逻辑真值表!P20=1,$L19&amp;"+","")</f>
        <v/>
      </c>
      <c r="R19" s="12" t="str">
        <f>IF(组合逻辑真值表!Q20=1,$L19&amp;"+","")</f>
        <v/>
      </c>
      <c r="S19" s="12" t="str">
        <f>IF(组合逻辑真值表!R20=1,$L19&amp;"+","")</f>
        <v/>
      </c>
      <c r="T19" s="12" t="str">
        <f>IF(组合逻辑真值表!S20=1,$L19&amp;"+","")</f>
        <v/>
      </c>
      <c r="U19" s="12" t="str">
        <f>IF(组合逻辑真值表!T20=1,$L19&amp;"+","")</f>
        <v/>
      </c>
      <c r="V19" s="12" t="str">
        <f>IF(组合逻辑真值表!U20=1,$L19&amp;"+","")</f>
        <v/>
      </c>
      <c r="W19" s="12" t="str">
        <f>IF(组合逻辑真值表!V20=1,$L19&amp;"+","")</f>
        <v/>
      </c>
      <c r="X19" s="12" t="str">
        <f>IF(组合逻辑真值表!W20=1,$L19&amp;"+","")</f>
        <v/>
      </c>
    </row>
    <row r="20" ht="14.4" spans="1:24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 t="str">
        <f>IF(组合逻辑真值表!G21&lt;&gt;"",IF(组合逻辑真值表!G21=1,组合逻辑真值表!G$2&amp;"&amp;",IF(组合逻辑真值表!G21=0,"~"&amp;组合逻辑真值表!G$2&amp;"&amp;","")),"")</f>
        <v/>
      </c>
      <c r="H20" s="3" t="str">
        <f>IF(组合逻辑真值表!H21&lt;&gt;"",IF(组合逻辑真值表!H21=1,组合逻辑真值表!H$2&amp;"&amp;",IF(组合逻辑真值表!H21=0,"~"&amp;组合逻辑真值表!H$2&amp;"&amp;","")),"")</f>
        <v/>
      </c>
      <c r="I20" s="3" t="str">
        <f>IF(组合逻辑真值表!I21&lt;&gt;"",IF(组合逻辑真值表!I21=1,组合逻辑真值表!I$2&amp;"&amp;",IF(组合逻辑真值表!I21=0,"~"&amp;组合逻辑真值表!I$2&amp;"&amp;","")),"")</f>
        <v/>
      </c>
      <c r="J20" s="3" t="str">
        <f>IF(组合逻辑真值表!J21&lt;&gt;"",IF(组合逻辑真值表!J21=1,组合逻辑真值表!J$2&amp;"&amp;",IF(组合逻辑真值表!J21=0,"~"&amp;组合逻辑真值表!J$2&amp;"&amp;","")),"")</f>
        <v/>
      </c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11" t="str">
        <f t="shared" si="0"/>
        <v/>
      </c>
      <c r="M20" s="12" t="str">
        <f>IF(组合逻辑真值表!L21=1,$L20&amp;"+","")</f>
        <v/>
      </c>
      <c r="N20" s="12" t="str">
        <f>IF(组合逻辑真值表!M21=1,$L20&amp;"+","")</f>
        <v/>
      </c>
      <c r="O20" s="12" t="str">
        <f>IF(组合逻辑真值表!N21=1,$L20&amp;"+","")</f>
        <v/>
      </c>
      <c r="P20" s="12" t="str">
        <f>IF(组合逻辑真值表!O21=1,$L20&amp;"+","")</f>
        <v/>
      </c>
      <c r="Q20" s="12" t="str">
        <f>IF(组合逻辑真值表!P21=1,$L20&amp;"+","")</f>
        <v/>
      </c>
      <c r="R20" s="12" t="str">
        <f>IF(组合逻辑真值表!Q21=1,$L20&amp;"+","")</f>
        <v/>
      </c>
      <c r="S20" s="12" t="str">
        <f>IF(组合逻辑真值表!R21=1,$L20&amp;"+","")</f>
        <v/>
      </c>
      <c r="T20" s="12" t="str">
        <f>IF(组合逻辑真值表!S21=1,$L20&amp;"+","")</f>
        <v/>
      </c>
      <c r="U20" s="12" t="str">
        <f>IF(组合逻辑真值表!T21=1,$L20&amp;"+","")</f>
        <v/>
      </c>
      <c r="V20" s="12" t="str">
        <f>IF(组合逻辑真值表!U21=1,$L20&amp;"+","")</f>
        <v/>
      </c>
      <c r="W20" s="12" t="str">
        <f>IF(组合逻辑真值表!V21=1,$L20&amp;"+","")</f>
        <v/>
      </c>
      <c r="X20" s="12" t="str">
        <f>IF(组合逻辑真值表!W21=1,$L20&amp;"+","")</f>
        <v/>
      </c>
    </row>
    <row r="21" ht="14.4" spans="1:24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 t="str">
        <f>IF(组合逻辑真值表!G22&lt;&gt;"",IF(组合逻辑真值表!G22=1,组合逻辑真值表!G$2&amp;"&amp;",IF(组合逻辑真值表!G22=0,"~"&amp;组合逻辑真值表!G$2&amp;"&amp;","")),"")</f>
        <v/>
      </c>
      <c r="H21" s="3" t="str">
        <f>IF(组合逻辑真值表!H22&lt;&gt;"",IF(组合逻辑真值表!H22=1,组合逻辑真值表!H$2&amp;"&amp;",IF(组合逻辑真值表!H22=0,"~"&amp;组合逻辑真值表!H$2&amp;"&amp;","")),"")</f>
        <v/>
      </c>
      <c r="I21" s="3" t="str">
        <f>IF(组合逻辑真值表!I22&lt;&gt;"",IF(组合逻辑真值表!I22=1,组合逻辑真值表!I$2&amp;"&amp;",IF(组合逻辑真值表!I22=0,"~"&amp;组合逻辑真值表!I$2&amp;"&amp;","")),"")</f>
        <v/>
      </c>
      <c r="J21" s="3" t="str">
        <f>IF(组合逻辑真值表!J22&lt;&gt;"",IF(组合逻辑真值表!J22=1,组合逻辑真值表!J$2&amp;"&amp;",IF(组合逻辑真值表!J22=0,"~"&amp;组合逻辑真值表!J$2&amp;"&amp;","")),"")</f>
        <v/>
      </c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11" t="str">
        <f t="shared" si="0"/>
        <v/>
      </c>
      <c r="M21" s="12" t="str">
        <f>IF(组合逻辑真值表!L22=1,$L21&amp;"+","")</f>
        <v/>
      </c>
      <c r="N21" s="12" t="str">
        <f>IF(组合逻辑真值表!M22=1,$L21&amp;"+","")</f>
        <v/>
      </c>
      <c r="O21" s="12" t="str">
        <f>IF(组合逻辑真值表!N22=1,$L21&amp;"+","")</f>
        <v/>
      </c>
      <c r="P21" s="12" t="str">
        <f>IF(组合逻辑真值表!O22=1,$L21&amp;"+","")</f>
        <v/>
      </c>
      <c r="Q21" s="12" t="str">
        <f>IF(组合逻辑真值表!P22=1,$L21&amp;"+","")</f>
        <v/>
      </c>
      <c r="R21" s="12" t="str">
        <f>IF(组合逻辑真值表!Q22=1,$L21&amp;"+","")</f>
        <v/>
      </c>
      <c r="S21" s="12" t="str">
        <f>IF(组合逻辑真值表!R22=1,$L21&amp;"+","")</f>
        <v/>
      </c>
      <c r="T21" s="12" t="str">
        <f>IF(组合逻辑真值表!S22=1,$L21&amp;"+","")</f>
        <v/>
      </c>
      <c r="U21" s="12" t="str">
        <f>IF(组合逻辑真值表!T22=1,$L21&amp;"+","")</f>
        <v/>
      </c>
      <c r="V21" s="12" t="str">
        <f>IF(组合逻辑真值表!U22=1,$L21&amp;"+","")</f>
        <v/>
      </c>
      <c r="W21" s="12" t="str">
        <f>IF(组合逻辑真值表!V22=1,$L21&amp;"+","")</f>
        <v/>
      </c>
      <c r="X21" s="12" t="str">
        <f>IF(组合逻辑真值表!W22=1,$L21&amp;"+","")</f>
        <v/>
      </c>
    </row>
    <row r="22" ht="14.4" spans="1:24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 t="str">
        <f>IF(组合逻辑真值表!G23&lt;&gt;"",IF(组合逻辑真值表!G23=1,组合逻辑真值表!G$2&amp;"&amp;",IF(组合逻辑真值表!G23=0,"~"&amp;组合逻辑真值表!G$2&amp;"&amp;","")),"")</f>
        <v/>
      </c>
      <c r="H22" s="3" t="str">
        <f>IF(组合逻辑真值表!H23&lt;&gt;"",IF(组合逻辑真值表!H23=1,组合逻辑真值表!H$2&amp;"&amp;",IF(组合逻辑真值表!H23=0,"~"&amp;组合逻辑真值表!H$2&amp;"&amp;","")),"")</f>
        <v/>
      </c>
      <c r="I22" s="3" t="str">
        <f>IF(组合逻辑真值表!I23&lt;&gt;"",IF(组合逻辑真值表!I23=1,组合逻辑真值表!I$2&amp;"&amp;",IF(组合逻辑真值表!I23=0,"~"&amp;组合逻辑真值表!I$2&amp;"&amp;","")),"")</f>
        <v/>
      </c>
      <c r="J22" s="3" t="str">
        <f>IF(组合逻辑真值表!J23&lt;&gt;"",IF(组合逻辑真值表!J23=1,组合逻辑真值表!J$2&amp;"&amp;",IF(组合逻辑真值表!J23=0,"~"&amp;组合逻辑真值表!J$2&amp;"&amp;","")),"")</f>
        <v/>
      </c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11" t="str">
        <f t="shared" si="0"/>
        <v/>
      </c>
      <c r="M22" s="12" t="str">
        <f>IF(组合逻辑真值表!L23=1,$L22&amp;"+","")</f>
        <v/>
      </c>
      <c r="N22" s="12" t="str">
        <f>IF(组合逻辑真值表!M23=1,$L22&amp;"+","")</f>
        <v/>
      </c>
      <c r="O22" s="12" t="str">
        <f>IF(组合逻辑真值表!N23=1,$L22&amp;"+","")</f>
        <v/>
      </c>
      <c r="P22" s="12" t="str">
        <f>IF(组合逻辑真值表!O23=1,$L22&amp;"+","")</f>
        <v/>
      </c>
      <c r="Q22" s="12" t="str">
        <f>IF(组合逻辑真值表!P23=1,$L22&amp;"+","")</f>
        <v/>
      </c>
      <c r="R22" s="12" t="str">
        <f>IF(组合逻辑真值表!Q23=1,$L22&amp;"+","")</f>
        <v/>
      </c>
      <c r="S22" s="12" t="str">
        <f>IF(组合逻辑真值表!R23=1,$L22&amp;"+","")</f>
        <v/>
      </c>
      <c r="T22" s="12" t="str">
        <f>IF(组合逻辑真值表!S23=1,$L22&amp;"+","")</f>
        <v/>
      </c>
      <c r="U22" s="12" t="str">
        <f>IF(组合逻辑真值表!T23=1,$L22&amp;"+","")</f>
        <v/>
      </c>
      <c r="V22" s="12" t="str">
        <f>IF(组合逻辑真值表!U23=1,$L22&amp;"+","")</f>
        <v/>
      </c>
      <c r="W22" s="12" t="str">
        <f>IF(组合逻辑真值表!V23=1,$L22&amp;"+","")</f>
        <v/>
      </c>
      <c r="X22" s="12" t="str">
        <f>IF(组合逻辑真值表!W23=1,$L22&amp;"+","")</f>
        <v/>
      </c>
    </row>
    <row r="23" ht="14.4" spans="1:24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 t="str">
        <f>IF(组合逻辑真值表!G24&lt;&gt;"",IF(组合逻辑真值表!G24=1,组合逻辑真值表!G$2&amp;"&amp;",IF(组合逻辑真值表!G24=0,"~"&amp;组合逻辑真值表!G$2&amp;"&amp;","")),"")</f>
        <v/>
      </c>
      <c r="H23" s="3" t="str">
        <f>IF(组合逻辑真值表!H24&lt;&gt;"",IF(组合逻辑真值表!H24=1,组合逻辑真值表!H$2&amp;"&amp;",IF(组合逻辑真值表!H24=0,"~"&amp;组合逻辑真值表!H$2&amp;"&amp;","")),"")</f>
        <v/>
      </c>
      <c r="I23" s="3" t="str">
        <f>IF(组合逻辑真值表!I24&lt;&gt;"",IF(组合逻辑真值表!I24=1,组合逻辑真值表!I$2&amp;"&amp;",IF(组合逻辑真值表!I24=0,"~"&amp;组合逻辑真值表!I$2&amp;"&amp;","")),"")</f>
        <v/>
      </c>
      <c r="J23" s="3" t="str">
        <f>IF(组合逻辑真值表!J24&lt;&gt;"",IF(组合逻辑真值表!J24=1,组合逻辑真值表!J$2&amp;"&amp;",IF(组合逻辑真值表!J24=0,"~"&amp;组合逻辑真值表!J$2&amp;"&amp;","")),"")</f>
        <v/>
      </c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11" t="str">
        <f t="shared" si="0"/>
        <v/>
      </c>
      <c r="M23" s="12" t="str">
        <f>IF(组合逻辑真值表!L24=1,$L23&amp;"+","")</f>
        <v/>
      </c>
      <c r="N23" s="12" t="str">
        <f>IF(组合逻辑真值表!M24=1,$L23&amp;"+","")</f>
        <v/>
      </c>
      <c r="O23" s="12" t="str">
        <f>IF(组合逻辑真值表!N24=1,$L23&amp;"+","")</f>
        <v/>
      </c>
      <c r="P23" s="12" t="str">
        <f>IF(组合逻辑真值表!O24=1,$L23&amp;"+","")</f>
        <v/>
      </c>
      <c r="Q23" s="12" t="str">
        <f>IF(组合逻辑真值表!P24=1,$L23&amp;"+","")</f>
        <v/>
      </c>
      <c r="R23" s="12" t="str">
        <f>IF(组合逻辑真值表!Q24=1,$L23&amp;"+","")</f>
        <v/>
      </c>
      <c r="S23" s="12" t="str">
        <f>IF(组合逻辑真值表!R24=1,$L23&amp;"+","")</f>
        <v/>
      </c>
      <c r="T23" s="12" t="str">
        <f>IF(组合逻辑真值表!S24=1,$L23&amp;"+","")</f>
        <v/>
      </c>
      <c r="U23" s="12" t="str">
        <f>IF(组合逻辑真值表!T24=1,$L23&amp;"+","")</f>
        <v/>
      </c>
      <c r="V23" s="12" t="str">
        <f>IF(组合逻辑真值表!U24=1,$L23&amp;"+","")</f>
        <v/>
      </c>
      <c r="W23" s="12" t="str">
        <f>IF(组合逻辑真值表!V24=1,$L23&amp;"+","")</f>
        <v/>
      </c>
      <c r="X23" s="12" t="str">
        <f>IF(组合逻辑真值表!W24=1,$L23&amp;"+","")</f>
        <v/>
      </c>
    </row>
    <row r="24" ht="14.4" spans="1:24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 t="str">
        <f>IF(组合逻辑真值表!G25&lt;&gt;"",IF(组合逻辑真值表!G25=1,组合逻辑真值表!G$2&amp;"&amp;",IF(组合逻辑真值表!G25=0,"~"&amp;组合逻辑真值表!G$2&amp;"&amp;","")),"")</f>
        <v/>
      </c>
      <c r="H24" s="3" t="str">
        <f>IF(组合逻辑真值表!H25&lt;&gt;"",IF(组合逻辑真值表!H25=1,组合逻辑真值表!H$2&amp;"&amp;",IF(组合逻辑真值表!H25=0,"~"&amp;组合逻辑真值表!H$2&amp;"&amp;","")),"")</f>
        <v/>
      </c>
      <c r="I24" s="3" t="str">
        <f>IF(组合逻辑真值表!I25&lt;&gt;"",IF(组合逻辑真值表!I25=1,组合逻辑真值表!I$2&amp;"&amp;",IF(组合逻辑真值表!I25=0,"~"&amp;组合逻辑真值表!I$2&amp;"&amp;","")),"")</f>
        <v/>
      </c>
      <c r="J24" s="3" t="str">
        <f>IF(组合逻辑真值表!J25&lt;&gt;"",IF(组合逻辑真值表!J25=1,组合逻辑真值表!J$2&amp;"&amp;",IF(组合逻辑真值表!J25=0,"~"&amp;组合逻辑真值表!J$2&amp;"&amp;","")),"")</f>
        <v/>
      </c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11" t="str">
        <f t="shared" si="0"/>
        <v/>
      </c>
      <c r="M24" s="12" t="str">
        <f>IF(组合逻辑真值表!L25=1,$L24&amp;"+","")</f>
        <v/>
      </c>
      <c r="N24" s="12" t="str">
        <f>IF(组合逻辑真值表!M25=1,$L24&amp;"+","")</f>
        <v/>
      </c>
      <c r="O24" s="12" t="str">
        <f>IF(组合逻辑真值表!N25=1,$L24&amp;"+","")</f>
        <v/>
      </c>
      <c r="P24" s="12" t="str">
        <f>IF(组合逻辑真值表!O25=1,$L24&amp;"+","")</f>
        <v/>
      </c>
      <c r="Q24" s="12" t="str">
        <f>IF(组合逻辑真值表!P25=1,$L24&amp;"+","")</f>
        <v/>
      </c>
      <c r="R24" s="12" t="str">
        <f>IF(组合逻辑真值表!Q25=1,$L24&amp;"+","")</f>
        <v/>
      </c>
      <c r="S24" s="12" t="str">
        <f>IF(组合逻辑真值表!R25=1,$L24&amp;"+","")</f>
        <v/>
      </c>
      <c r="T24" s="12" t="str">
        <f>IF(组合逻辑真值表!S25=1,$L24&amp;"+","")</f>
        <v/>
      </c>
      <c r="U24" s="12" t="str">
        <f>IF(组合逻辑真值表!T25=1,$L24&amp;"+","")</f>
        <v/>
      </c>
      <c r="V24" s="12" t="str">
        <f>IF(组合逻辑真值表!U25=1,$L24&amp;"+","")</f>
        <v/>
      </c>
      <c r="W24" s="12" t="str">
        <f>IF(组合逻辑真值表!V25=1,$L24&amp;"+","")</f>
        <v/>
      </c>
      <c r="X24" s="12" t="str">
        <f>IF(组合逻辑真值表!W25=1,$L24&amp;"+","")</f>
        <v/>
      </c>
    </row>
    <row r="25" ht="14.4" spans="1:24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 t="str">
        <f>IF(组合逻辑真值表!G26&lt;&gt;"",IF(组合逻辑真值表!G26=1,组合逻辑真值表!G$2&amp;"&amp;",IF(组合逻辑真值表!G26=0,"~"&amp;组合逻辑真值表!G$2&amp;"&amp;","")),"")</f>
        <v/>
      </c>
      <c r="H25" s="3" t="str">
        <f>IF(组合逻辑真值表!H26&lt;&gt;"",IF(组合逻辑真值表!H26=1,组合逻辑真值表!H$2&amp;"&amp;",IF(组合逻辑真值表!H26=0,"~"&amp;组合逻辑真值表!H$2&amp;"&amp;","")),"")</f>
        <v/>
      </c>
      <c r="I25" s="3" t="str">
        <f>IF(组合逻辑真值表!I26&lt;&gt;"",IF(组合逻辑真值表!I26=1,组合逻辑真值表!I$2&amp;"&amp;",IF(组合逻辑真值表!I26=0,"~"&amp;组合逻辑真值表!I$2&amp;"&amp;","")),"")</f>
        <v/>
      </c>
      <c r="J25" s="3" t="str">
        <f>IF(组合逻辑真值表!J26&lt;&gt;"",IF(组合逻辑真值表!J26=1,组合逻辑真值表!J$2&amp;"&amp;",IF(组合逻辑真值表!J26=0,"~"&amp;组合逻辑真值表!J$2&amp;"&amp;","")),"")</f>
        <v/>
      </c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11" t="str">
        <f t="shared" si="0"/>
        <v/>
      </c>
      <c r="M25" s="12" t="str">
        <f>IF(组合逻辑真值表!L26=1,$L25&amp;"+","")</f>
        <v/>
      </c>
      <c r="N25" s="12" t="str">
        <f>IF(组合逻辑真值表!M26=1,$L25&amp;"+","")</f>
        <v/>
      </c>
      <c r="O25" s="12" t="str">
        <f>IF(组合逻辑真值表!N26=1,$L25&amp;"+","")</f>
        <v/>
      </c>
      <c r="P25" s="12" t="str">
        <f>IF(组合逻辑真值表!O26=1,$L25&amp;"+","")</f>
        <v/>
      </c>
      <c r="Q25" s="12" t="str">
        <f>IF(组合逻辑真值表!P26=1,$L25&amp;"+","")</f>
        <v/>
      </c>
      <c r="R25" s="12" t="str">
        <f>IF(组合逻辑真值表!Q26=1,$L25&amp;"+","")</f>
        <v/>
      </c>
      <c r="S25" s="12" t="str">
        <f>IF(组合逻辑真值表!R26=1,$L25&amp;"+","")</f>
        <v/>
      </c>
      <c r="T25" s="12" t="str">
        <f>IF(组合逻辑真值表!S26=1,$L25&amp;"+","")</f>
        <v/>
      </c>
      <c r="U25" s="12" t="str">
        <f>IF(组合逻辑真值表!T26=1,$L25&amp;"+","")</f>
        <v/>
      </c>
      <c r="V25" s="12" t="str">
        <f>IF(组合逻辑真值表!U26=1,$L25&amp;"+","")</f>
        <v/>
      </c>
      <c r="W25" s="12" t="str">
        <f>IF(组合逻辑真值表!V26=1,$L25&amp;"+","")</f>
        <v/>
      </c>
      <c r="X25" s="12" t="str">
        <f>IF(组合逻辑真值表!W26=1,$L25&amp;"+","")</f>
        <v/>
      </c>
    </row>
    <row r="26" ht="14.4" spans="1:24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 t="str">
        <f>IF(组合逻辑真值表!G27&lt;&gt;"",IF(组合逻辑真值表!G27=1,组合逻辑真值表!G$2&amp;"&amp;",IF(组合逻辑真值表!G27=0,"~"&amp;组合逻辑真值表!G$2&amp;"&amp;","")),"")</f>
        <v/>
      </c>
      <c r="H26" s="3" t="str">
        <f>IF(组合逻辑真值表!H27&lt;&gt;"",IF(组合逻辑真值表!H27=1,组合逻辑真值表!H$2&amp;"&amp;",IF(组合逻辑真值表!H27=0,"~"&amp;组合逻辑真值表!H$2&amp;"&amp;","")),"")</f>
        <v/>
      </c>
      <c r="I26" s="3" t="str">
        <f>IF(组合逻辑真值表!I27&lt;&gt;"",IF(组合逻辑真值表!I27=1,组合逻辑真值表!I$2&amp;"&amp;",IF(组合逻辑真值表!I27=0,"~"&amp;组合逻辑真值表!I$2&amp;"&amp;","")),"")</f>
        <v/>
      </c>
      <c r="J26" s="3" t="str">
        <f>IF(组合逻辑真值表!J27&lt;&gt;"",IF(组合逻辑真值表!J27=1,组合逻辑真值表!J$2&amp;"&amp;",IF(组合逻辑真值表!J27=0,"~"&amp;组合逻辑真值表!J$2&amp;"&amp;","")),"")</f>
        <v/>
      </c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11" t="str">
        <f t="shared" si="0"/>
        <v/>
      </c>
      <c r="M26" s="12" t="str">
        <f>IF(组合逻辑真值表!L27=1,$L26&amp;"+","")</f>
        <v/>
      </c>
      <c r="N26" s="12" t="str">
        <f>IF(组合逻辑真值表!M27=1,$L26&amp;"+","")</f>
        <v/>
      </c>
      <c r="O26" s="12" t="str">
        <f>IF(组合逻辑真值表!N27=1,$L26&amp;"+","")</f>
        <v/>
      </c>
      <c r="P26" s="12" t="str">
        <f>IF(组合逻辑真值表!O27=1,$L26&amp;"+","")</f>
        <v/>
      </c>
      <c r="Q26" s="12" t="str">
        <f>IF(组合逻辑真值表!P27=1,$L26&amp;"+","")</f>
        <v/>
      </c>
      <c r="R26" s="12" t="str">
        <f>IF(组合逻辑真值表!Q27=1,$L26&amp;"+","")</f>
        <v/>
      </c>
      <c r="S26" s="12" t="str">
        <f>IF(组合逻辑真值表!R27=1,$L26&amp;"+","")</f>
        <v/>
      </c>
      <c r="T26" s="12" t="str">
        <f>IF(组合逻辑真值表!S27=1,$L26&amp;"+","")</f>
        <v/>
      </c>
      <c r="U26" s="12" t="str">
        <f>IF(组合逻辑真值表!T27=1,$L26&amp;"+","")</f>
        <v/>
      </c>
      <c r="V26" s="12" t="str">
        <f>IF(组合逻辑真值表!U27=1,$L26&amp;"+","")</f>
        <v/>
      </c>
      <c r="W26" s="12" t="str">
        <f>IF(组合逻辑真值表!V27=1,$L26&amp;"+","")</f>
        <v/>
      </c>
      <c r="X26" s="12" t="str">
        <f>IF(组合逻辑真值表!W27=1,$L26&amp;"+","")</f>
        <v/>
      </c>
    </row>
    <row r="27" ht="14.4" spans="1:24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 t="str">
        <f>IF(组合逻辑真值表!G28&lt;&gt;"",IF(组合逻辑真值表!G28=1,组合逻辑真值表!G$2&amp;"&amp;",IF(组合逻辑真值表!G28=0,"~"&amp;组合逻辑真值表!G$2&amp;"&amp;","")),"")</f>
        <v/>
      </c>
      <c r="H27" s="3" t="str">
        <f>IF(组合逻辑真值表!H28&lt;&gt;"",IF(组合逻辑真值表!H28=1,组合逻辑真值表!H$2&amp;"&amp;",IF(组合逻辑真值表!H28=0,"~"&amp;组合逻辑真值表!H$2&amp;"&amp;","")),"")</f>
        <v/>
      </c>
      <c r="I27" s="3" t="str">
        <f>IF(组合逻辑真值表!I28&lt;&gt;"",IF(组合逻辑真值表!I28=1,组合逻辑真值表!I$2&amp;"&amp;",IF(组合逻辑真值表!I28=0,"~"&amp;组合逻辑真值表!I$2&amp;"&amp;","")),"")</f>
        <v/>
      </c>
      <c r="J27" s="3" t="str">
        <f>IF(组合逻辑真值表!J28&lt;&gt;"",IF(组合逻辑真值表!J28=1,组合逻辑真值表!J$2&amp;"&amp;",IF(组合逻辑真值表!J28=0,"~"&amp;组合逻辑真值表!J$2&amp;"&amp;","")),"")</f>
        <v/>
      </c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11" t="str">
        <f t="shared" si="0"/>
        <v/>
      </c>
      <c r="M27" s="12" t="str">
        <f>IF(组合逻辑真值表!L28=1,$L27&amp;"+","")</f>
        <v/>
      </c>
      <c r="N27" s="12" t="str">
        <f>IF(组合逻辑真值表!M28=1,$L27&amp;"+","")</f>
        <v/>
      </c>
      <c r="O27" s="12" t="str">
        <f>IF(组合逻辑真值表!N28=1,$L27&amp;"+","")</f>
        <v/>
      </c>
      <c r="P27" s="12" t="str">
        <f>IF(组合逻辑真值表!O28=1,$L27&amp;"+","")</f>
        <v/>
      </c>
      <c r="Q27" s="12" t="str">
        <f>IF(组合逻辑真值表!P28=1,$L27&amp;"+","")</f>
        <v/>
      </c>
      <c r="R27" s="12" t="str">
        <f>IF(组合逻辑真值表!Q28=1,$L27&amp;"+","")</f>
        <v/>
      </c>
      <c r="S27" s="12" t="str">
        <f>IF(组合逻辑真值表!R28=1,$L27&amp;"+","")</f>
        <v/>
      </c>
      <c r="T27" s="12" t="str">
        <f>IF(组合逻辑真值表!S28=1,$L27&amp;"+","")</f>
        <v/>
      </c>
      <c r="U27" s="12" t="str">
        <f>IF(组合逻辑真值表!T28=1,$L27&amp;"+","")</f>
        <v/>
      </c>
      <c r="V27" s="12" t="str">
        <f>IF(组合逻辑真值表!U28=1,$L27&amp;"+","")</f>
        <v/>
      </c>
      <c r="W27" s="12" t="str">
        <f>IF(组合逻辑真值表!V28=1,$L27&amp;"+","")</f>
        <v/>
      </c>
      <c r="X27" s="12" t="str">
        <f>IF(组合逻辑真值表!W28=1,$L27&amp;"+","")</f>
        <v/>
      </c>
    </row>
    <row r="28" ht="14.4" spans="1:24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 t="str">
        <f>IF(组合逻辑真值表!G29&lt;&gt;"",IF(组合逻辑真值表!G29=1,组合逻辑真值表!G$2&amp;"&amp;",IF(组合逻辑真值表!G29=0,"~"&amp;组合逻辑真值表!G$2&amp;"&amp;","")),"")</f>
        <v/>
      </c>
      <c r="H28" s="3" t="str">
        <f>IF(组合逻辑真值表!H29&lt;&gt;"",IF(组合逻辑真值表!H29=1,组合逻辑真值表!H$2&amp;"&amp;",IF(组合逻辑真值表!H29=0,"~"&amp;组合逻辑真值表!H$2&amp;"&amp;","")),"")</f>
        <v/>
      </c>
      <c r="I28" s="3" t="str">
        <f>IF(组合逻辑真值表!I29&lt;&gt;"",IF(组合逻辑真值表!I29=1,组合逻辑真值表!I$2&amp;"&amp;",IF(组合逻辑真值表!I29=0,"~"&amp;组合逻辑真值表!I$2&amp;"&amp;","")),"")</f>
        <v/>
      </c>
      <c r="J28" s="3" t="str">
        <f>IF(组合逻辑真值表!J29&lt;&gt;"",IF(组合逻辑真值表!J29=1,组合逻辑真值表!J$2&amp;"&amp;",IF(组合逻辑真值表!J29=0,"~"&amp;组合逻辑真值表!J$2&amp;"&amp;","")),"")</f>
        <v/>
      </c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11" t="str">
        <f t="shared" si="0"/>
        <v/>
      </c>
      <c r="M28" s="12" t="str">
        <f>IF(组合逻辑真值表!L29=1,$L28&amp;"+","")</f>
        <v/>
      </c>
      <c r="N28" s="12" t="str">
        <f>IF(组合逻辑真值表!M29=1,$L28&amp;"+","")</f>
        <v/>
      </c>
      <c r="O28" s="12" t="str">
        <f>IF(组合逻辑真值表!N29=1,$L28&amp;"+","")</f>
        <v/>
      </c>
      <c r="P28" s="12" t="str">
        <f>IF(组合逻辑真值表!O29=1,$L28&amp;"+","")</f>
        <v/>
      </c>
      <c r="Q28" s="12" t="str">
        <f>IF(组合逻辑真值表!P29=1,$L28&amp;"+","")</f>
        <v/>
      </c>
      <c r="R28" s="12" t="str">
        <f>IF(组合逻辑真值表!Q29=1,$L28&amp;"+","")</f>
        <v/>
      </c>
      <c r="S28" s="12" t="str">
        <f>IF(组合逻辑真值表!R29=1,$L28&amp;"+","")</f>
        <v/>
      </c>
      <c r="T28" s="12" t="str">
        <f>IF(组合逻辑真值表!S29=1,$L28&amp;"+","")</f>
        <v/>
      </c>
      <c r="U28" s="12" t="str">
        <f>IF(组合逻辑真值表!T29=1,$L28&amp;"+","")</f>
        <v/>
      </c>
      <c r="V28" s="12" t="str">
        <f>IF(组合逻辑真值表!U29=1,$L28&amp;"+","")</f>
        <v/>
      </c>
      <c r="W28" s="12" t="str">
        <f>IF(组合逻辑真值表!V29=1,$L28&amp;"+","")</f>
        <v/>
      </c>
      <c r="X28" s="12" t="str">
        <f>IF(组合逻辑真值表!W29=1,$L28&amp;"+","")</f>
        <v/>
      </c>
    </row>
    <row r="29" ht="14.4" spans="1:24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 t="str">
        <f>IF(组合逻辑真值表!G30&lt;&gt;"",IF(组合逻辑真值表!G30=1,组合逻辑真值表!G$2&amp;"&amp;",IF(组合逻辑真值表!G30=0,"~"&amp;组合逻辑真值表!G$2&amp;"&amp;","")),"")</f>
        <v/>
      </c>
      <c r="H29" s="3" t="str">
        <f>IF(组合逻辑真值表!H30&lt;&gt;"",IF(组合逻辑真值表!H30=1,组合逻辑真值表!H$2&amp;"&amp;",IF(组合逻辑真值表!H30=0,"~"&amp;组合逻辑真值表!H$2&amp;"&amp;","")),"")</f>
        <v/>
      </c>
      <c r="I29" s="3" t="str">
        <f>IF(组合逻辑真值表!I30&lt;&gt;"",IF(组合逻辑真值表!I30=1,组合逻辑真值表!I$2&amp;"&amp;",IF(组合逻辑真值表!I30=0,"~"&amp;组合逻辑真值表!I$2&amp;"&amp;","")),"")</f>
        <v/>
      </c>
      <c r="J29" s="3" t="str">
        <f>IF(组合逻辑真值表!J30&lt;&gt;"",IF(组合逻辑真值表!J30=1,组合逻辑真值表!J$2&amp;"&amp;",IF(组合逻辑真值表!J30=0,"~"&amp;组合逻辑真值表!J$2&amp;"&amp;","")),"")</f>
        <v/>
      </c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11" t="str">
        <f t="shared" si="0"/>
        <v/>
      </c>
      <c r="M29" s="12" t="str">
        <f>IF(组合逻辑真值表!L30=1,$L29&amp;"+","")</f>
        <v/>
      </c>
      <c r="N29" s="12" t="str">
        <f>IF(组合逻辑真值表!M30=1,$L29&amp;"+","")</f>
        <v/>
      </c>
      <c r="O29" s="12" t="str">
        <f>IF(组合逻辑真值表!N30=1,$L29&amp;"+","")</f>
        <v/>
      </c>
      <c r="P29" s="12" t="str">
        <f>IF(组合逻辑真值表!O30=1,$L29&amp;"+","")</f>
        <v/>
      </c>
      <c r="Q29" s="12" t="str">
        <f>IF(组合逻辑真值表!P30=1,$L29&amp;"+","")</f>
        <v/>
      </c>
      <c r="R29" s="12" t="str">
        <f>IF(组合逻辑真值表!Q30=1,$L29&amp;"+","")</f>
        <v/>
      </c>
      <c r="S29" s="12" t="str">
        <f>IF(组合逻辑真值表!R30=1,$L29&amp;"+","")</f>
        <v/>
      </c>
      <c r="T29" s="12" t="str">
        <f>IF(组合逻辑真值表!S30=1,$L29&amp;"+","")</f>
        <v/>
      </c>
      <c r="U29" s="12" t="str">
        <f>IF(组合逻辑真值表!T30=1,$L29&amp;"+","")</f>
        <v/>
      </c>
      <c r="V29" s="12" t="str">
        <f>IF(组合逻辑真值表!U30=1,$L29&amp;"+","")</f>
        <v/>
      </c>
      <c r="W29" s="12" t="str">
        <f>IF(组合逻辑真值表!V30=1,$L29&amp;"+","")</f>
        <v/>
      </c>
      <c r="X29" s="12" t="str">
        <f>IF(组合逻辑真值表!W30=1,$L29&amp;"+","")</f>
        <v/>
      </c>
    </row>
    <row r="30" ht="14.4" spans="1:24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 t="str">
        <f>IF(组合逻辑真值表!G31&lt;&gt;"",IF(组合逻辑真值表!G31=1,组合逻辑真值表!G$2&amp;"&amp;",IF(组合逻辑真值表!G31=0,"~"&amp;组合逻辑真值表!G$2&amp;"&amp;","")),"")</f>
        <v/>
      </c>
      <c r="H30" s="3" t="str">
        <f>IF(组合逻辑真值表!H31&lt;&gt;"",IF(组合逻辑真值表!H31=1,组合逻辑真值表!H$2&amp;"&amp;",IF(组合逻辑真值表!H31=0,"~"&amp;组合逻辑真值表!H$2&amp;"&amp;","")),"")</f>
        <v/>
      </c>
      <c r="I30" s="3" t="str">
        <f>IF(组合逻辑真值表!I31&lt;&gt;"",IF(组合逻辑真值表!I31=1,组合逻辑真值表!I$2&amp;"&amp;",IF(组合逻辑真值表!I31=0,"~"&amp;组合逻辑真值表!I$2&amp;"&amp;","")),"")</f>
        <v/>
      </c>
      <c r="J30" s="3" t="str">
        <f>IF(组合逻辑真值表!J31&lt;&gt;"",IF(组合逻辑真值表!J31=1,组合逻辑真值表!J$2&amp;"&amp;",IF(组合逻辑真值表!J31=0,"~"&amp;组合逻辑真值表!J$2&amp;"&amp;","")),"")</f>
        <v/>
      </c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11" t="str">
        <f t="shared" si="0"/>
        <v/>
      </c>
      <c r="M30" s="12" t="str">
        <f>IF(组合逻辑真值表!L31=1,$L30&amp;"+","")</f>
        <v/>
      </c>
      <c r="N30" s="12" t="str">
        <f>IF(组合逻辑真值表!M31=1,$L30&amp;"+","")</f>
        <v/>
      </c>
      <c r="O30" s="12" t="str">
        <f>IF(组合逻辑真值表!N31=1,$L30&amp;"+","")</f>
        <v/>
      </c>
      <c r="P30" s="12" t="str">
        <f>IF(组合逻辑真值表!O31=1,$L30&amp;"+","")</f>
        <v/>
      </c>
      <c r="Q30" s="12" t="str">
        <f>IF(组合逻辑真值表!P31=1,$L30&amp;"+","")</f>
        <v/>
      </c>
      <c r="R30" s="12" t="str">
        <f>IF(组合逻辑真值表!Q31=1,$L30&amp;"+","")</f>
        <v/>
      </c>
      <c r="S30" s="12" t="str">
        <f>IF(组合逻辑真值表!R31=1,$L30&amp;"+","")</f>
        <v/>
      </c>
      <c r="T30" s="12" t="str">
        <f>IF(组合逻辑真值表!S31=1,$L30&amp;"+","")</f>
        <v/>
      </c>
      <c r="U30" s="12" t="str">
        <f>IF(组合逻辑真值表!T31=1,$L30&amp;"+","")</f>
        <v/>
      </c>
      <c r="V30" s="12" t="str">
        <f>IF(组合逻辑真值表!U31=1,$L30&amp;"+","")</f>
        <v/>
      </c>
      <c r="W30" s="12" t="str">
        <f>IF(组合逻辑真值表!V31=1,$L30&amp;"+","")</f>
        <v/>
      </c>
      <c r="X30" s="12" t="str">
        <f>IF(组合逻辑真值表!W31=1,$L30&amp;"+","")</f>
        <v/>
      </c>
    </row>
    <row r="31" ht="15.15" spans="1:24">
      <c r="A31" s="3" t="str">
        <f>IF(组合逻辑真值表!A32&lt;&gt;"",IF(组合逻辑真值表!A32=1,组合逻辑真值表!A$2&amp;"&amp;",IF(组合逻辑真值表!A32=0,"~"&amp;组合逻辑真值表!A$2&amp;"&amp;","")),"")</f>
        <v/>
      </c>
      <c r="B31" s="3" t="str">
        <f>IF(组合逻辑真值表!B32&lt;&gt;"",IF(组合逻辑真值表!B32=1,组合逻辑真值表!B$2&amp;"&amp;",IF(组合逻辑真值表!B32=0,"~"&amp;组合逻辑真值表!B$2&amp;"&amp;","")),"")</f>
        <v/>
      </c>
      <c r="C31" s="3" t="str">
        <f>IF(组合逻辑真值表!C32&lt;&gt;"",IF(组合逻辑真值表!C32=1,组合逻辑真值表!C$2&amp;"&amp;",IF(组合逻辑真值表!C32=0,"~"&amp;组合逻辑真值表!C$2&amp;"&amp;","")),"")</f>
        <v/>
      </c>
      <c r="D31" s="3" t="str">
        <f>IF(组合逻辑真值表!D32&lt;&gt;"",IF(组合逻辑真值表!D32=1,组合逻辑真值表!D$2&amp;"&amp;",IF(组合逻辑真值表!D32=0,"~"&amp;组合逻辑真值表!D$2&amp;"&amp;","")),"")</f>
        <v/>
      </c>
      <c r="E31" s="3" t="str">
        <f>IF(组合逻辑真值表!E32&lt;&gt;"",IF(组合逻辑真值表!E32=1,组合逻辑真值表!E$2&amp;"&amp;",IF(组合逻辑真值表!E32=0,"~"&amp;组合逻辑真值表!E$2&amp;"&amp;","")),"")</f>
        <v/>
      </c>
      <c r="F31" s="3" t="str">
        <f>IF(组合逻辑真值表!F32&lt;&gt;"",IF(组合逻辑真值表!F32=1,组合逻辑真值表!F$2&amp;"&amp;",IF(组合逻辑真值表!F32=0,"~"&amp;组合逻辑真值表!F$2&amp;"&amp;","")),"")</f>
        <v/>
      </c>
      <c r="G31" s="3" t="str">
        <f>IF(组合逻辑真值表!G32&lt;&gt;"",IF(组合逻辑真值表!G32=1,组合逻辑真值表!G$2&amp;"&amp;",IF(组合逻辑真值表!G32=0,"~"&amp;组合逻辑真值表!G$2&amp;"&amp;","")),"")</f>
        <v/>
      </c>
      <c r="H31" s="3" t="str">
        <f>IF(组合逻辑真值表!H32&lt;&gt;"",IF(组合逻辑真值表!H32=1,组合逻辑真值表!H$2&amp;"&amp;",IF(组合逻辑真值表!H32=0,"~"&amp;组合逻辑真值表!H$2&amp;"&amp;","")),"")</f>
        <v/>
      </c>
      <c r="I31" s="3" t="str">
        <f>IF(组合逻辑真值表!I32&lt;&gt;"",IF(组合逻辑真值表!I32=1,组合逻辑真值表!I$2&amp;"&amp;",IF(组合逻辑真值表!I32=0,"~"&amp;组合逻辑真值表!I$2&amp;"&amp;","")),"")</f>
        <v/>
      </c>
      <c r="J31" s="3" t="str">
        <f>IF(组合逻辑真值表!J32&lt;&gt;"",IF(组合逻辑真值表!J32=1,组合逻辑真值表!J$2&amp;"&amp;",IF(组合逻辑真值表!J32=0,"~"&amp;组合逻辑真值表!J$2&amp;"&amp;","")),"")</f>
        <v/>
      </c>
      <c r="K31" s="3" t="str">
        <f>IF(组合逻辑真值表!K32&lt;&gt;"",IF(组合逻辑真值表!K32=1,组合逻辑真值表!K$2&amp;"&amp;",IF(组合逻辑真值表!K32=0,"~"&amp;组合逻辑真值表!K$2&amp;"&amp;","")),"")</f>
        <v/>
      </c>
      <c r="L31" s="11" t="str">
        <f t="shared" si="0"/>
        <v/>
      </c>
      <c r="M31" s="12" t="str">
        <f>IF(组合逻辑真值表!L32=1,$L31&amp;"+","")</f>
        <v/>
      </c>
      <c r="N31" s="12" t="str">
        <f>IF(组合逻辑真值表!M32=1,$L31&amp;"+","")</f>
        <v/>
      </c>
      <c r="O31" s="12" t="str">
        <f>IF(组合逻辑真值表!N32=1,$L31&amp;"+","")</f>
        <v/>
      </c>
      <c r="P31" s="13"/>
      <c r="Q31" s="13"/>
      <c r="R31" s="13"/>
      <c r="S31" s="13"/>
      <c r="T31" s="13"/>
      <c r="U31" s="13"/>
      <c r="V31" s="13"/>
      <c r="W31" s="13"/>
      <c r="X31" s="13"/>
    </row>
    <row r="32" ht="16.95" spans="1:24">
      <c r="A32" s="4" t="s">
        <v>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14"/>
      <c r="M32" s="15" t="str">
        <f t="shared" ref="M32:N32" si="1">IF(LEN(M33)&gt;1,LEFT(M33,LEN(M33)-1),"")</f>
        <v/>
      </c>
      <c r="N32" s="15" t="str">
        <f t="shared" si="1"/>
        <v/>
      </c>
      <c r="O32" s="15" t="str">
        <f t="shared" ref="O32" si="2">IF(LEN(O33)&gt;1,LEFT(O33,LEN(O33)-1),"")</f>
        <v/>
      </c>
      <c r="P32" s="15" t="str">
        <f t="shared" ref="P32" si="3">IF(LEN(P33)&gt;1,LEFT(P33,LEN(P33)-1),"")</f>
        <v/>
      </c>
      <c r="Q32" s="15" t="str">
        <f t="shared" ref="Q32" si="4">IF(LEN(Q33)&gt;1,LEFT(Q33,LEN(Q33)-1),"")</f>
        <v/>
      </c>
      <c r="R32" s="15" t="str">
        <f t="shared" ref="R32" si="5">IF(LEN(R33)&gt;1,LEFT(R33,LEN(R33)-1),"")</f>
        <v/>
      </c>
      <c r="S32" s="15" t="str">
        <f t="shared" ref="S32" si="6">IF(LEN(S33)&gt;1,LEFT(S33,LEN(S33)-1),"")</f>
        <v/>
      </c>
      <c r="T32" s="15" t="str">
        <f t="shared" ref="T32" si="7">IF(LEN(T33)&gt;1,LEFT(T33,LEN(T33)-1),"")</f>
        <v/>
      </c>
      <c r="U32" s="15" t="str">
        <f t="shared" ref="U32" si="8">IF(LEN(U33)&gt;1,LEFT(U33,LEN(U33)-1),"")</f>
        <v/>
      </c>
      <c r="V32" s="15" t="str">
        <f t="shared" ref="V32" si="9">IF(LEN(V33)&gt;1,LEFT(V33,LEN(V33)-1),"")</f>
        <v/>
      </c>
      <c r="W32" s="15" t="str">
        <f t="shared" ref="W32" si="10">IF(LEN(W33)&gt;1,LEFT(W33,LEN(W33)-1),"")</f>
        <v/>
      </c>
      <c r="X32" s="15" t="str">
        <f t="shared" ref="X32" si="11">IF(LEN(X33)&gt;1,LEFT(X33,LEN(X33)-1),"")</f>
        <v/>
      </c>
    </row>
    <row r="33" ht="42.75" customHeight="1" spans="1:2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16" t="str">
        <f>CONCATENATE(M2,M3,M4,M5,M6,M7,M8,M9,M10,M11,M12,M13,M14,M15,M16,M17,M18,M19,M20,M21,M22,M23,M24,M25,M26,M27,M28,M29,M30,M31)</f>
        <v/>
      </c>
      <c r="N33" s="16" t="str">
        <f>CONCATENATE(N2,N3,N4,N5,N6,N7,N8,N9,N10,N11,N12,N13,N14,N15,N16,N17,N18,N19,N20,N21,N22,N23,N24,N25,N26,N27,N28,N29,N30,N31)</f>
        <v/>
      </c>
      <c r="O33" s="16" t="str">
        <f>CONCATENATE(O2,O3,O4,O5,O6,O7,O8,O9,O10,O11,O12,O13,O14,O15,O16,O17,O18,O19,O20,O21,O22,O23,O24,O25,O26,O27,O28,O29,O30,O31)</f>
        <v/>
      </c>
      <c r="P33" s="16" t="str">
        <f t="shared" ref="N33:X33" si="12">CONCATENATE(P2,P3,P4,P5,P6,P7,P8,P9,P10,P11,P12,P13,P14,P15,P16,P17,P18,P19,P20,P21,P22,P23,P24,P25,P26,P27,P28,P29,P30)</f>
        <v/>
      </c>
      <c r="Q33" s="16" t="str">
        <f t="shared" si="12"/>
        <v/>
      </c>
      <c r="R33" s="16" t="str">
        <f t="shared" si="12"/>
        <v/>
      </c>
      <c r="S33" s="16" t="str">
        <f t="shared" si="12"/>
        <v/>
      </c>
      <c r="T33" s="16" t="str">
        <f t="shared" si="12"/>
        <v/>
      </c>
      <c r="U33" s="16" t="str">
        <f t="shared" si="12"/>
        <v/>
      </c>
      <c r="V33" s="16" t="str">
        <f t="shared" si="12"/>
        <v/>
      </c>
      <c r="W33" s="16" t="str">
        <f t="shared" si="12"/>
        <v/>
      </c>
      <c r="X33" s="16" t="str">
        <f t="shared" si="12"/>
        <v/>
      </c>
    </row>
    <row r="34" ht="24" customHeight="1" spans="1:24">
      <c r="A34" s="7" t="s">
        <v>30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7" ht="16.2" spans="3:16">
      <c r="C37" s="8"/>
      <c r="P37" s="17" t="s">
        <v>31</v>
      </c>
    </row>
  </sheetData>
  <protectedRanges>
    <protectedRange sqref="Z4" name="区域1"/>
  </protectedRanges>
  <mergeCells count="2">
    <mergeCell ref="A32:L32"/>
    <mergeCell ref="A34:X34"/>
  </mergeCells>
  <conditionalFormatting sqref="M32:X32">
    <cfRule type="containsBlanks" dxfId="3" priority="1">
      <formula>LEN(TRIM(M32))=0</formula>
    </cfRule>
  </conditionalFormatting>
  <conditionalFormatting sqref="M2:X31">
    <cfRule type="notContainsBlanks" dxfId="4" priority="2">
      <formula>LEN(TRIM(M2))&gt;0</formula>
    </cfRule>
  </conditionalFormatting>
  <dataValidations count="5">
    <dataValidation allowBlank="1" showInputMessage="1" showErrorMessage="1" promptTitle="最小项自动生成" prompt="输入信号最小项自动生成" sqref="A1:G1 H1:L1 A2:F2 A11:F11 A14:F14 A18:F18 A30:A31 B30:B31 C30:C31 D30:D31 E30:E31 F30:F31 G2:G31 H2:H31 I2:I31 J2:J31 K2:K31 L2:L31 A15:F17 A12:F13 A19:F29 A3:F10"/>
    <dataValidation allowBlank="1" showInputMessage="1" showErrorMessage="1" promptTitle="输出逻辑表达式" prompt="输出逻辑表达式自动生成" sqref="M1:X1 P2:X2 P30:X30 P31:X31 M2:M31 N2:N31 O2:O31 P3:X29"/>
    <dataValidation allowBlank="1" showInputMessage="1" showErrorMessage="1" promptTitle="次态状态位" prompt="次态状态位逻辑表达式生成" sqref="M33:X33 P37"/>
    <dataValidation allowBlank="1" showInputMessage="1" showErrorMessage="1" promptTitle="输出信号逻辑表达式" prompt="输出信号最终逻辑表达式，直接复制到Logisim中即可自动生成电路" sqref="M32:X32"/>
    <dataValidation allowBlank="1" showInputMessage="1" showErrorMessage="1" promptTitle="次态" prompt="在第一行筛选对应信号为1的条件，最小项列即可包含最终的逻辑表达式" sqref="P35:P36 P39:P1048576 M35:O1048576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>
    <arrUserId title="区域1" rangeCreator="" othersAccessPermission="edit"/>
    <arrUserId title="区域1_1" rangeCreator="" othersAccessPermission="edit"/>
  </rangeList>
  <rangeList sheetStid="5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karwen</cp:lastModifiedBy>
  <dcterms:created xsi:type="dcterms:W3CDTF">2018-06-11T03:29:00Z</dcterms:created>
  <cp:lastPrinted>2019-03-05T06:30:00Z</cp:lastPrinted>
  <dcterms:modified xsi:type="dcterms:W3CDTF">2022-04-05T12:36:38Z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1F95BED435544604B8CE77FAEDE6C37D</vt:lpwstr>
  </property>
</Properties>
</file>